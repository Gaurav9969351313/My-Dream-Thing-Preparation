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E:\MY_TELEGRAM_RESERACH\"/>
    </mc:Choice>
  </mc:AlternateContent>
  <xr:revisionPtr revIDLastSave="0" documentId="13_ncr:1_{E055E49B-BC60-4CFD-99B0-C04B9C7116BE}" xr6:coauthVersionLast="47" xr6:coauthVersionMax="47" xr10:uidLastSave="{00000000-0000-0000-0000-000000000000}"/>
  <bookViews>
    <workbookView xWindow="-108" yWindow="-108" windowWidth="23256" windowHeight="12576" activeTab="1" xr2:uid="{1CCB8040-6E54-42EF-BB1D-355B260A9EED}"/>
  </bookViews>
  <sheets>
    <sheet name="Main" sheetId="8" r:id="rId1"/>
    <sheet name="Dashboard" sheetId="4" r:id="rId2"/>
    <sheet name="OI Analysis" sheetId="3" r:id="rId3"/>
    <sheet name="OptionAnalysis" sheetId="2" r:id="rId4"/>
    <sheet name="Sentiment" sheetId="12" r:id="rId5"/>
    <sheet name="NiftyOption Chain" sheetId="1" r:id="rId6"/>
    <sheet name="Intraday Chart" sheetId="6" r:id="rId7"/>
    <sheet name="Max Pain" sheetId="5" r:id="rId8"/>
    <sheet name="Autochange OI" sheetId="9" r:id="rId9"/>
    <sheet name="cookies" sheetId="7" r:id="rId10"/>
  </sheets>
  <definedNames>
    <definedName name="Cookies">cookies!$B$4</definedName>
    <definedName name="ExternalData_1" localSheetId="5" hidden="1">'NiftyOption Chain'!$A$9:$S$113</definedName>
    <definedName name="ExternalData_2" localSheetId="5" hidden="1">'NiftyOption Chain'!$B$121:$C$122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0" i="1" l="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C53" i="1" s="1"/>
  <c r="B53" i="1" s="1"/>
  <c r="D54" i="1"/>
  <c r="D55" i="1"/>
  <c r="D56" i="1"/>
  <c r="D57" i="1"/>
  <c r="D58" i="1"/>
  <c r="D59" i="1"/>
  <c r="D60" i="1"/>
  <c r="D61" i="1"/>
  <c r="D62" i="1"/>
  <c r="D63" i="1"/>
  <c r="D64" i="1"/>
  <c r="D65" i="1"/>
  <c r="D66" i="1"/>
  <c r="D67" i="1"/>
  <c r="D68" i="1"/>
  <c r="D69" i="1"/>
  <c r="C69" i="1" s="1"/>
  <c r="B69" i="1" s="1"/>
  <c r="D70" i="1"/>
  <c r="D71" i="1"/>
  <c r="D72" i="1"/>
  <c r="D73" i="1"/>
  <c r="D74" i="1"/>
  <c r="D75" i="1"/>
  <c r="D76" i="1"/>
  <c r="D77" i="1"/>
  <c r="D78" i="1"/>
  <c r="D79" i="1"/>
  <c r="D80" i="1"/>
  <c r="D81" i="1"/>
  <c r="D82" i="1"/>
  <c r="D83" i="1"/>
  <c r="D84" i="1"/>
  <c r="D85" i="1"/>
  <c r="C85" i="1" s="1"/>
  <c r="B85" i="1" s="1"/>
  <c r="D86" i="1"/>
  <c r="D87" i="1"/>
  <c r="D88" i="1"/>
  <c r="D89" i="1"/>
  <c r="D90" i="1"/>
  <c r="D91" i="1"/>
  <c r="D92" i="1"/>
  <c r="D93" i="1"/>
  <c r="D94" i="1"/>
  <c r="D95" i="1"/>
  <c r="D96" i="1"/>
  <c r="D97" i="1"/>
  <c r="D98" i="1"/>
  <c r="D99" i="1"/>
  <c r="D100" i="1"/>
  <c r="D101" i="1"/>
  <c r="C101" i="1" s="1"/>
  <c r="B101" i="1" s="1"/>
  <c r="D102" i="1"/>
  <c r="D103" i="1"/>
  <c r="D104" i="1"/>
  <c r="D105" i="1"/>
  <c r="D106" i="1"/>
  <c r="D107" i="1"/>
  <c r="D108" i="1"/>
  <c r="D109" i="1"/>
  <c r="D110" i="1"/>
  <c r="D111" i="1"/>
  <c r="D112" i="1"/>
  <c r="D113"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C109" i="1" l="1"/>
  <c r="B109" i="1" s="1"/>
  <c r="C97" i="1"/>
  <c r="B97" i="1" s="1"/>
  <c r="C81" i="1"/>
  <c r="B81" i="1" s="1"/>
  <c r="C57" i="1"/>
  <c r="B57" i="1" s="1"/>
  <c r="C45" i="1"/>
  <c r="B45" i="1" s="1"/>
  <c r="C112" i="1"/>
  <c r="B112" i="1" s="1"/>
  <c r="C108" i="1"/>
  <c r="B108" i="1" s="1"/>
  <c r="C104" i="1"/>
  <c r="B104" i="1" s="1"/>
  <c r="C100" i="1"/>
  <c r="B100" i="1" s="1"/>
  <c r="C96" i="1"/>
  <c r="B96" i="1" s="1"/>
  <c r="C92" i="1"/>
  <c r="B92" i="1" s="1"/>
  <c r="C88" i="1"/>
  <c r="B88" i="1" s="1"/>
  <c r="C84" i="1"/>
  <c r="B84" i="1" s="1"/>
  <c r="C80" i="1"/>
  <c r="B80" i="1" s="1"/>
  <c r="C76" i="1"/>
  <c r="B76" i="1" s="1"/>
  <c r="C72" i="1"/>
  <c r="B72" i="1" s="1"/>
  <c r="C68" i="1"/>
  <c r="B68" i="1" s="1"/>
  <c r="C64" i="1"/>
  <c r="B64" i="1" s="1"/>
  <c r="C60" i="1"/>
  <c r="B60" i="1" s="1"/>
  <c r="C56" i="1"/>
  <c r="B56" i="1" s="1"/>
  <c r="C52" i="1"/>
  <c r="B52" i="1" s="1"/>
  <c r="C48" i="1"/>
  <c r="B48" i="1" s="1"/>
  <c r="C44" i="1"/>
  <c r="B44" i="1" s="1"/>
  <c r="C40" i="1"/>
  <c r="B40" i="1" s="1"/>
  <c r="C36" i="1"/>
  <c r="B36" i="1" s="1"/>
  <c r="C32" i="1"/>
  <c r="B32" i="1" s="1"/>
  <c r="C28" i="1"/>
  <c r="B28" i="1" s="1"/>
  <c r="C24" i="1"/>
  <c r="B24" i="1" s="1"/>
  <c r="C20" i="1"/>
  <c r="B20" i="1" s="1"/>
  <c r="C16" i="1"/>
  <c r="B16" i="1" s="1"/>
  <c r="C12" i="1"/>
  <c r="B12" i="1" s="1"/>
  <c r="C105" i="1"/>
  <c r="B105" i="1" s="1"/>
  <c r="C93" i="1"/>
  <c r="B93" i="1" s="1"/>
  <c r="C73" i="1"/>
  <c r="B73" i="1" s="1"/>
  <c r="C61" i="1"/>
  <c r="B61" i="1" s="1"/>
  <c r="C41" i="1"/>
  <c r="B41" i="1" s="1"/>
  <c r="C111" i="1"/>
  <c r="B111" i="1" s="1"/>
  <c r="C107" i="1"/>
  <c r="B107" i="1" s="1"/>
  <c r="C103" i="1"/>
  <c r="B103" i="1" s="1"/>
  <c r="C99" i="1"/>
  <c r="B99" i="1" s="1"/>
  <c r="C95" i="1"/>
  <c r="B95" i="1" s="1"/>
  <c r="C91" i="1"/>
  <c r="B91" i="1" s="1"/>
  <c r="C87" i="1"/>
  <c r="B87" i="1" s="1"/>
  <c r="C83" i="1"/>
  <c r="B83" i="1" s="1"/>
  <c r="C79" i="1"/>
  <c r="B79" i="1" s="1"/>
  <c r="C75" i="1"/>
  <c r="B75" i="1" s="1"/>
  <c r="C71" i="1"/>
  <c r="B71" i="1" s="1"/>
  <c r="C67" i="1"/>
  <c r="B67" i="1" s="1"/>
  <c r="C63" i="1"/>
  <c r="B63" i="1" s="1"/>
  <c r="C59" i="1"/>
  <c r="B59" i="1" s="1"/>
  <c r="C55" i="1"/>
  <c r="B55" i="1" s="1"/>
  <c r="C51" i="1"/>
  <c r="B51" i="1" s="1"/>
  <c r="C47" i="1"/>
  <c r="B47" i="1" s="1"/>
  <c r="C43" i="1"/>
  <c r="B43" i="1" s="1"/>
  <c r="C39" i="1"/>
  <c r="B39" i="1" s="1"/>
  <c r="C35" i="1"/>
  <c r="B35" i="1" s="1"/>
  <c r="C31" i="1"/>
  <c r="B31" i="1" s="1"/>
  <c r="C27" i="1"/>
  <c r="B27" i="1" s="1"/>
  <c r="C23" i="1"/>
  <c r="B23" i="1" s="1"/>
  <c r="C19" i="1"/>
  <c r="B19" i="1" s="1"/>
  <c r="C15" i="1"/>
  <c r="B15" i="1" s="1"/>
  <c r="C11" i="1"/>
  <c r="B11" i="1" s="1"/>
  <c r="C113" i="1"/>
  <c r="B113" i="1" s="1"/>
  <c r="C89" i="1"/>
  <c r="B89" i="1" s="1"/>
  <c r="C77" i="1"/>
  <c r="B77" i="1" s="1"/>
  <c r="C65" i="1"/>
  <c r="B65" i="1" s="1"/>
  <c r="C49" i="1"/>
  <c r="B49" i="1" s="1"/>
  <c r="C110" i="1"/>
  <c r="B110" i="1" s="1"/>
  <c r="C106" i="1"/>
  <c r="B106" i="1" s="1"/>
  <c r="C102" i="1"/>
  <c r="B102" i="1" s="1"/>
  <c r="C98" i="1"/>
  <c r="B98" i="1" s="1"/>
  <c r="C94" i="1"/>
  <c r="B94" i="1" s="1"/>
  <c r="C90" i="1"/>
  <c r="B90" i="1" s="1"/>
  <c r="C86" i="1"/>
  <c r="B86" i="1" s="1"/>
  <c r="C82" i="1"/>
  <c r="B82" i="1" s="1"/>
  <c r="C78" i="1"/>
  <c r="B78" i="1" s="1"/>
  <c r="C74" i="1"/>
  <c r="B74" i="1" s="1"/>
  <c r="C70" i="1"/>
  <c r="B70" i="1" s="1"/>
  <c r="C66" i="1"/>
  <c r="B66" i="1" s="1"/>
  <c r="C62" i="1"/>
  <c r="B62" i="1" s="1"/>
  <c r="C58" i="1"/>
  <c r="B58" i="1" s="1"/>
  <c r="C54" i="1"/>
  <c r="B54" i="1" s="1"/>
  <c r="C50" i="1"/>
  <c r="B50" i="1" s="1"/>
  <c r="C46" i="1"/>
  <c r="B46" i="1" s="1"/>
  <c r="C42" i="1"/>
  <c r="B42" i="1" s="1"/>
  <c r="C38" i="1"/>
  <c r="B38" i="1" s="1"/>
  <c r="C34" i="1"/>
  <c r="B34" i="1" s="1"/>
  <c r="C30" i="1"/>
  <c r="B30" i="1" s="1"/>
  <c r="C26" i="1"/>
  <c r="B26" i="1" s="1"/>
  <c r="C22" i="1"/>
  <c r="B22" i="1" s="1"/>
  <c r="C18" i="1"/>
  <c r="B18" i="1" s="1"/>
  <c r="C14" i="1"/>
  <c r="B14" i="1" s="1"/>
  <c r="C10" i="1"/>
  <c r="B10" i="1" s="1"/>
  <c r="C37" i="1"/>
  <c r="B37" i="1" s="1"/>
  <c r="C33" i="1"/>
  <c r="B33" i="1" s="1"/>
  <c r="C29" i="1"/>
  <c r="B29" i="1" s="1"/>
  <c r="C25" i="1"/>
  <c r="B25" i="1" s="1"/>
  <c r="C21" i="1"/>
  <c r="B21" i="1" s="1"/>
  <c r="C17" i="1"/>
  <c r="B17" i="1" s="1"/>
  <c r="C13" i="1"/>
  <c r="B13" i="1" s="1"/>
  <c r="A27" i="4"/>
  <c r="F27" i="4" s="1"/>
  <c r="A28" i="4"/>
  <c r="B28" i="4" s="1"/>
  <c r="A29" i="4"/>
  <c r="H29" i="4" s="1"/>
  <c r="A30" i="4"/>
  <c r="F30" i="4" s="1"/>
  <c r="A31" i="4"/>
  <c r="C31" i="4" s="1"/>
  <c r="A32" i="4"/>
  <c r="G32" i="4" s="1"/>
  <c r="A33" i="4"/>
  <c r="D33" i="4" s="1"/>
  <c r="A34" i="4"/>
  <c r="B34" i="4" s="1"/>
  <c r="A35" i="4"/>
  <c r="F35" i="4" s="1"/>
  <c r="A36" i="4"/>
  <c r="B36" i="4" s="1"/>
  <c r="A37" i="4"/>
  <c r="H37" i="4" s="1"/>
  <c r="A38" i="4"/>
  <c r="F38" i="4" s="1"/>
  <c r="A39" i="4"/>
  <c r="C39" i="4" s="1"/>
  <c r="A40" i="4"/>
  <c r="G40" i="4" s="1"/>
  <c r="A41" i="4"/>
  <c r="D41" i="4" s="1"/>
  <c r="A42" i="4"/>
  <c r="B42" i="4" s="1"/>
  <c r="A43" i="4"/>
  <c r="F43" i="4" s="1"/>
  <c r="A44" i="4"/>
  <c r="B44" i="4" s="1"/>
  <c r="A45" i="4"/>
  <c r="H45" i="4" s="1"/>
  <c r="A46" i="4"/>
  <c r="B46" i="4" s="1"/>
  <c r="A47" i="4"/>
  <c r="C47" i="4" s="1"/>
  <c r="A48" i="4"/>
  <c r="G48" i="4" s="1"/>
  <c r="A49" i="4"/>
  <c r="D49" i="4" s="1"/>
  <c r="A50" i="4"/>
  <c r="D50" i="4" s="1"/>
  <c r="A51" i="4"/>
  <c r="F51" i="4" s="1"/>
  <c r="A52" i="4"/>
  <c r="F52" i="4" s="1"/>
  <c r="A53" i="4"/>
  <c r="H53" i="4" s="1"/>
  <c r="A54" i="4"/>
  <c r="B54" i="4" s="1"/>
  <c r="A55" i="4"/>
  <c r="C55" i="4" s="1"/>
  <c r="A56" i="4"/>
  <c r="G56" i="4" s="1"/>
  <c r="A57" i="4"/>
  <c r="D57" i="4" s="1"/>
  <c r="A58" i="4"/>
  <c r="D58" i="4" s="1"/>
  <c r="A59" i="4"/>
  <c r="F59" i="4" s="1"/>
  <c r="A60" i="4"/>
  <c r="F60" i="4" s="1"/>
  <c r="A61" i="4"/>
  <c r="H61" i="4" s="1"/>
  <c r="A62" i="4"/>
  <c r="B62" i="4" s="1"/>
  <c r="A63" i="4"/>
  <c r="C63" i="4" s="1"/>
  <c r="A64" i="4"/>
  <c r="G64" i="4" s="1"/>
  <c r="A65" i="4"/>
  <c r="D65" i="4" s="1"/>
  <c r="A66" i="4"/>
  <c r="D66" i="4" s="1"/>
  <c r="A67" i="4"/>
  <c r="F67" i="4" s="1"/>
  <c r="A68" i="4"/>
  <c r="F68" i="4" s="1"/>
  <c r="A69" i="4"/>
  <c r="H69" i="4" s="1"/>
  <c r="A70" i="4"/>
  <c r="B70" i="4" s="1"/>
  <c r="A71" i="4"/>
  <c r="C71" i="4" s="1"/>
  <c r="A72" i="4"/>
  <c r="G72" i="4" s="1"/>
  <c r="A73" i="4"/>
  <c r="D73" i="4" s="1"/>
  <c r="A74" i="4"/>
  <c r="D74" i="4" s="1"/>
  <c r="A75" i="4"/>
  <c r="F75" i="4" s="1"/>
  <c r="A76" i="4"/>
  <c r="F76" i="4" s="1"/>
  <c r="A77" i="4"/>
  <c r="H77" i="4" s="1"/>
  <c r="A78" i="4"/>
  <c r="B78" i="4" s="1"/>
  <c r="A79" i="4"/>
  <c r="C79" i="4" s="1"/>
  <c r="A80" i="4"/>
  <c r="G80" i="4" s="1"/>
  <c r="A81" i="4"/>
  <c r="D81" i="4" s="1"/>
  <c r="A82" i="4"/>
  <c r="D82" i="4" s="1"/>
  <c r="A83" i="4"/>
  <c r="F83" i="4" s="1"/>
  <c r="A84" i="4"/>
  <c r="F84" i="4" s="1"/>
  <c r="A85" i="4"/>
  <c r="H85" i="4" s="1"/>
  <c r="A86" i="4"/>
  <c r="B86" i="4" s="1"/>
  <c r="A87" i="4"/>
  <c r="C87" i="4" s="1"/>
  <c r="A88" i="4"/>
  <c r="G88" i="4" s="1"/>
  <c r="A89" i="4"/>
  <c r="D89" i="4" s="1"/>
  <c r="A90" i="4"/>
  <c r="D90" i="4" s="1"/>
  <c r="A91" i="4"/>
  <c r="F91" i="4" s="1"/>
  <c r="A92" i="4"/>
  <c r="F92" i="4" s="1"/>
  <c r="A93" i="4"/>
  <c r="H93" i="4" s="1"/>
  <c r="A94" i="4"/>
  <c r="B94" i="4" s="1"/>
  <c r="A95" i="4"/>
  <c r="C95" i="4" s="1"/>
  <c r="A96" i="4"/>
  <c r="G96" i="4" s="1"/>
  <c r="A97" i="4"/>
  <c r="D97" i="4" s="1"/>
  <c r="A98" i="4"/>
  <c r="D98" i="4" s="1"/>
  <c r="A99" i="4"/>
  <c r="F99" i="4" s="1"/>
  <c r="A100" i="4"/>
  <c r="F100" i="4" s="1"/>
  <c r="A101" i="4"/>
  <c r="H101" i="4" s="1"/>
  <c r="A102" i="4"/>
  <c r="B102" i="4" s="1"/>
  <c r="A103" i="4"/>
  <c r="C103" i="4" s="1"/>
  <c r="A104" i="4"/>
  <c r="G104" i="4" s="1"/>
  <c r="A105" i="4"/>
  <c r="D105" i="4" s="1"/>
  <c r="A106" i="4"/>
  <c r="D106" i="4" s="1"/>
  <c r="A107" i="4"/>
  <c r="F107" i="4" s="1"/>
  <c r="A108" i="4"/>
  <c r="F108" i="4" s="1"/>
  <c r="A109" i="4"/>
  <c r="H109" i="4" s="1"/>
  <c r="A110" i="4"/>
  <c r="B110" i="4" s="1"/>
  <c r="A26" i="4"/>
  <c r="G26" i="4" l="1"/>
  <c r="F26" i="4"/>
  <c r="E26" i="4"/>
  <c r="D26" i="4"/>
  <c r="B26" i="4"/>
  <c r="H26" i="4"/>
  <c r="C26" i="4"/>
  <c r="B41" i="4"/>
  <c r="B33" i="4"/>
  <c r="B109" i="4"/>
  <c r="B101" i="4"/>
  <c r="B93" i="4"/>
  <c r="B85" i="4"/>
  <c r="B77" i="4"/>
  <c r="B69" i="4"/>
  <c r="B61" i="4"/>
  <c r="B53" i="4"/>
  <c r="C110" i="4"/>
  <c r="C102" i="4"/>
  <c r="C94" i="4"/>
  <c r="C86" i="4"/>
  <c r="C78" i="4"/>
  <c r="C70" i="4"/>
  <c r="C62" i="4"/>
  <c r="C54" i="4"/>
  <c r="C46" i="4"/>
  <c r="C38" i="4"/>
  <c r="C30" i="4"/>
  <c r="E108" i="4"/>
  <c r="E104" i="4"/>
  <c r="E100" i="4"/>
  <c r="E96" i="4"/>
  <c r="E92" i="4"/>
  <c r="E88" i="4"/>
  <c r="E84" i="4"/>
  <c r="E80" i="4"/>
  <c r="E76" i="4"/>
  <c r="E72" i="4"/>
  <c r="E68" i="4"/>
  <c r="E64" i="4"/>
  <c r="E60" i="4"/>
  <c r="E56" i="4"/>
  <c r="E52" i="4"/>
  <c r="E48" i="4"/>
  <c r="E44" i="4"/>
  <c r="E40" i="4"/>
  <c r="E36" i="4"/>
  <c r="E32" i="4"/>
  <c r="E28" i="4"/>
  <c r="G109" i="4"/>
  <c r="H106" i="4"/>
  <c r="F104" i="4"/>
  <c r="G101" i="4"/>
  <c r="H98" i="4"/>
  <c r="F96" i="4"/>
  <c r="G93" i="4"/>
  <c r="H90" i="4"/>
  <c r="F88" i="4"/>
  <c r="G85" i="4"/>
  <c r="H82" i="4"/>
  <c r="F80" i="4"/>
  <c r="G77" i="4"/>
  <c r="H74" i="4"/>
  <c r="F72" i="4"/>
  <c r="G69" i="4"/>
  <c r="H66" i="4"/>
  <c r="F64" i="4"/>
  <c r="G61" i="4"/>
  <c r="H58" i="4"/>
  <c r="F56" i="4"/>
  <c r="G53" i="4"/>
  <c r="H50" i="4"/>
  <c r="F48" i="4"/>
  <c r="G45" i="4"/>
  <c r="H42" i="4"/>
  <c r="F40" i="4"/>
  <c r="G37" i="4"/>
  <c r="H34" i="4"/>
  <c r="F32" i="4"/>
  <c r="G29" i="4"/>
  <c r="B40" i="4"/>
  <c r="B32" i="4"/>
  <c r="B108" i="4"/>
  <c r="B100" i="4"/>
  <c r="B92" i="4"/>
  <c r="B84" i="4"/>
  <c r="B76" i="4"/>
  <c r="B68" i="4"/>
  <c r="B60" i="4"/>
  <c r="B52" i="4"/>
  <c r="C109" i="4"/>
  <c r="C101" i="4"/>
  <c r="C93" i="4"/>
  <c r="C85" i="4"/>
  <c r="C77" i="4"/>
  <c r="C69" i="4"/>
  <c r="C61" i="4"/>
  <c r="C53" i="4"/>
  <c r="C45" i="4"/>
  <c r="C37" i="4"/>
  <c r="C29" i="4"/>
  <c r="D108" i="4"/>
  <c r="D104" i="4"/>
  <c r="D100" i="4"/>
  <c r="D96" i="4"/>
  <c r="D92" i="4"/>
  <c r="D88" i="4"/>
  <c r="D84" i="4"/>
  <c r="D80" i="4"/>
  <c r="D76" i="4"/>
  <c r="D72" i="4"/>
  <c r="D68" i="4"/>
  <c r="D64" i="4"/>
  <c r="D60" i="4"/>
  <c r="D56" i="4"/>
  <c r="D52" i="4"/>
  <c r="D48" i="4"/>
  <c r="D44" i="4"/>
  <c r="D40" i="4"/>
  <c r="D36" i="4"/>
  <c r="D32" i="4"/>
  <c r="D28" i="4"/>
  <c r="F109" i="4"/>
  <c r="G106" i="4"/>
  <c r="H103" i="4"/>
  <c r="F101" i="4"/>
  <c r="G98" i="4"/>
  <c r="H95" i="4"/>
  <c r="F93" i="4"/>
  <c r="G90" i="4"/>
  <c r="H87" i="4"/>
  <c r="F85" i="4"/>
  <c r="G82" i="4"/>
  <c r="H79" i="4"/>
  <c r="F77" i="4"/>
  <c r="G74" i="4"/>
  <c r="H71" i="4"/>
  <c r="F69" i="4"/>
  <c r="G66" i="4"/>
  <c r="H63" i="4"/>
  <c r="F61" i="4"/>
  <c r="G58" i="4"/>
  <c r="H55" i="4"/>
  <c r="F53" i="4"/>
  <c r="G50" i="4"/>
  <c r="H47" i="4"/>
  <c r="F45" i="4"/>
  <c r="G42" i="4"/>
  <c r="H39" i="4"/>
  <c r="F37" i="4"/>
  <c r="G34" i="4"/>
  <c r="H31" i="4"/>
  <c r="F29" i="4"/>
  <c r="B39" i="4"/>
  <c r="B31" i="4"/>
  <c r="B107" i="4"/>
  <c r="B99" i="4"/>
  <c r="B91" i="4"/>
  <c r="B83" i="4"/>
  <c r="B75" i="4"/>
  <c r="B67" i="4"/>
  <c r="B59" i="4"/>
  <c r="B51" i="4"/>
  <c r="C108" i="4"/>
  <c r="C100" i="4"/>
  <c r="C92" i="4"/>
  <c r="C84" i="4"/>
  <c r="C76" i="4"/>
  <c r="C68" i="4"/>
  <c r="C60" i="4"/>
  <c r="C52" i="4"/>
  <c r="C44" i="4"/>
  <c r="C36" i="4"/>
  <c r="C28" i="4"/>
  <c r="E107" i="4"/>
  <c r="E103" i="4"/>
  <c r="E99" i="4"/>
  <c r="E95" i="4"/>
  <c r="E91" i="4"/>
  <c r="E87" i="4"/>
  <c r="E83" i="4"/>
  <c r="E79" i="4"/>
  <c r="E75" i="4"/>
  <c r="E71" i="4"/>
  <c r="E67" i="4"/>
  <c r="E63" i="4"/>
  <c r="E59" i="4"/>
  <c r="E55" i="4"/>
  <c r="E51" i="4"/>
  <c r="E47" i="4"/>
  <c r="E43" i="4"/>
  <c r="E39" i="4"/>
  <c r="E35" i="4"/>
  <c r="E31" i="4"/>
  <c r="E27" i="4"/>
  <c r="H108" i="4"/>
  <c r="F106" i="4"/>
  <c r="G103" i="4"/>
  <c r="H100" i="4"/>
  <c r="F98" i="4"/>
  <c r="G95" i="4"/>
  <c r="H92" i="4"/>
  <c r="F90" i="4"/>
  <c r="G87" i="4"/>
  <c r="H84" i="4"/>
  <c r="F82" i="4"/>
  <c r="G79" i="4"/>
  <c r="H76" i="4"/>
  <c r="F74" i="4"/>
  <c r="G71" i="4"/>
  <c r="H68" i="4"/>
  <c r="F66" i="4"/>
  <c r="G63" i="4"/>
  <c r="H60" i="4"/>
  <c r="F58" i="4"/>
  <c r="G55" i="4"/>
  <c r="H52" i="4"/>
  <c r="F50" i="4"/>
  <c r="G47" i="4"/>
  <c r="H44" i="4"/>
  <c r="F42" i="4"/>
  <c r="G39" i="4"/>
  <c r="H36" i="4"/>
  <c r="F34" i="4"/>
  <c r="G31" i="4"/>
  <c r="H28" i="4"/>
  <c r="B38" i="4"/>
  <c r="B30" i="4"/>
  <c r="B106" i="4"/>
  <c r="B98" i="4"/>
  <c r="B90" i="4"/>
  <c r="B82" i="4"/>
  <c r="B74" i="4"/>
  <c r="B66" i="4"/>
  <c r="B58" i="4"/>
  <c r="B50" i="4"/>
  <c r="C107" i="4"/>
  <c r="C99" i="4"/>
  <c r="C91" i="4"/>
  <c r="C83" i="4"/>
  <c r="C75" i="4"/>
  <c r="C67" i="4"/>
  <c r="C59" i="4"/>
  <c r="C51" i="4"/>
  <c r="C43" i="4"/>
  <c r="C35" i="4"/>
  <c r="C27" i="4"/>
  <c r="D107" i="4"/>
  <c r="D103" i="4"/>
  <c r="D99" i="4"/>
  <c r="D95" i="4"/>
  <c r="D91" i="4"/>
  <c r="D87" i="4"/>
  <c r="D83" i="4"/>
  <c r="D79" i="4"/>
  <c r="D75" i="4"/>
  <c r="D71" i="4"/>
  <c r="D67" i="4"/>
  <c r="D63" i="4"/>
  <c r="D59" i="4"/>
  <c r="D55" i="4"/>
  <c r="D51" i="4"/>
  <c r="D47" i="4"/>
  <c r="D43" i="4"/>
  <c r="D39" i="4"/>
  <c r="D35" i="4"/>
  <c r="D31" i="4"/>
  <c r="D27" i="4"/>
  <c r="G108" i="4"/>
  <c r="H105" i="4"/>
  <c r="F103" i="4"/>
  <c r="G100" i="4"/>
  <c r="H97" i="4"/>
  <c r="F95" i="4"/>
  <c r="G92" i="4"/>
  <c r="H89" i="4"/>
  <c r="F87" i="4"/>
  <c r="G84" i="4"/>
  <c r="H81" i="4"/>
  <c r="F79" i="4"/>
  <c r="G76" i="4"/>
  <c r="H73" i="4"/>
  <c r="F71" i="4"/>
  <c r="G68" i="4"/>
  <c r="H65" i="4"/>
  <c r="F63" i="4"/>
  <c r="G60" i="4"/>
  <c r="H57" i="4"/>
  <c r="F55" i="4"/>
  <c r="G52" i="4"/>
  <c r="H49" i="4"/>
  <c r="F47" i="4"/>
  <c r="G44" i="4"/>
  <c r="H41" i="4"/>
  <c r="F39" i="4"/>
  <c r="G36" i="4"/>
  <c r="H33" i="4"/>
  <c r="F31" i="4"/>
  <c r="G28" i="4"/>
  <c r="B45" i="4"/>
  <c r="B37" i="4"/>
  <c r="B29" i="4"/>
  <c r="B105" i="4"/>
  <c r="B97" i="4"/>
  <c r="B89" i="4"/>
  <c r="B81" i="4"/>
  <c r="B73" i="4"/>
  <c r="B65" i="4"/>
  <c r="B57" i="4"/>
  <c r="B49" i="4"/>
  <c r="C106" i="4"/>
  <c r="C98" i="4"/>
  <c r="C90" i="4"/>
  <c r="C82" i="4"/>
  <c r="C74" i="4"/>
  <c r="C66" i="4"/>
  <c r="C58" i="4"/>
  <c r="C50" i="4"/>
  <c r="C42" i="4"/>
  <c r="C34" i="4"/>
  <c r="E110" i="4"/>
  <c r="E106" i="4"/>
  <c r="E102" i="4"/>
  <c r="E98" i="4"/>
  <c r="E94" i="4"/>
  <c r="E90" i="4"/>
  <c r="E86" i="4"/>
  <c r="E82" i="4"/>
  <c r="E78" i="4"/>
  <c r="E74" i="4"/>
  <c r="E70" i="4"/>
  <c r="E66" i="4"/>
  <c r="I66" i="4" s="1"/>
  <c r="E62" i="4"/>
  <c r="E58" i="4"/>
  <c r="E54" i="4"/>
  <c r="E50" i="4"/>
  <c r="E46" i="4"/>
  <c r="E42" i="4"/>
  <c r="E38" i="4"/>
  <c r="E34" i="4"/>
  <c r="E30" i="4"/>
  <c r="H110" i="4"/>
  <c r="G105" i="4"/>
  <c r="H102" i="4"/>
  <c r="G97" i="4"/>
  <c r="H94" i="4"/>
  <c r="G89" i="4"/>
  <c r="H86" i="4"/>
  <c r="G81" i="4"/>
  <c r="H78" i="4"/>
  <c r="G73" i="4"/>
  <c r="H70" i="4"/>
  <c r="G65" i="4"/>
  <c r="H62" i="4"/>
  <c r="G57" i="4"/>
  <c r="H54" i="4"/>
  <c r="G49" i="4"/>
  <c r="H46" i="4"/>
  <c r="F44" i="4"/>
  <c r="G41" i="4"/>
  <c r="H38" i="4"/>
  <c r="F36" i="4"/>
  <c r="G33" i="4"/>
  <c r="H30" i="4"/>
  <c r="F28" i="4"/>
  <c r="B104" i="4"/>
  <c r="B96" i="4"/>
  <c r="B88" i="4"/>
  <c r="B80" i="4"/>
  <c r="B72" i="4"/>
  <c r="B64" i="4"/>
  <c r="B56" i="4"/>
  <c r="B48" i="4"/>
  <c r="C105" i="4"/>
  <c r="C97" i="4"/>
  <c r="C89" i="4"/>
  <c r="C81" i="4"/>
  <c r="C73" i="4"/>
  <c r="C65" i="4"/>
  <c r="C57" i="4"/>
  <c r="C49" i="4"/>
  <c r="C41" i="4"/>
  <c r="C33" i="4"/>
  <c r="D110" i="4"/>
  <c r="D102" i="4"/>
  <c r="D94" i="4"/>
  <c r="D86" i="4"/>
  <c r="D78" i="4"/>
  <c r="D70" i="4"/>
  <c r="D62" i="4"/>
  <c r="D54" i="4"/>
  <c r="D46" i="4"/>
  <c r="D42" i="4"/>
  <c r="D38" i="4"/>
  <c r="D34" i="4"/>
  <c r="D30" i="4"/>
  <c r="G110" i="4"/>
  <c r="H107" i="4"/>
  <c r="F105" i="4"/>
  <c r="G102" i="4"/>
  <c r="H99" i="4"/>
  <c r="F97" i="4"/>
  <c r="G94" i="4"/>
  <c r="H91" i="4"/>
  <c r="F89" i="4"/>
  <c r="G86" i="4"/>
  <c r="H83" i="4"/>
  <c r="F81" i="4"/>
  <c r="G78" i="4"/>
  <c r="H75" i="4"/>
  <c r="F73" i="4"/>
  <c r="G70" i="4"/>
  <c r="H67" i="4"/>
  <c r="F65" i="4"/>
  <c r="G62" i="4"/>
  <c r="H59" i="4"/>
  <c r="F57" i="4"/>
  <c r="G54" i="4"/>
  <c r="H51" i="4"/>
  <c r="F49" i="4"/>
  <c r="G46" i="4"/>
  <c r="H43" i="4"/>
  <c r="F41" i="4"/>
  <c r="G38" i="4"/>
  <c r="H35" i="4"/>
  <c r="F33" i="4"/>
  <c r="G30" i="4"/>
  <c r="H27" i="4"/>
  <c r="B43" i="4"/>
  <c r="B35" i="4"/>
  <c r="B27" i="4"/>
  <c r="B103" i="4"/>
  <c r="B95" i="4"/>
  <c r="B87" i="4"/>
  <c r="B79" i="4"/>
  <c r="B71" i="4"/>
  <c r="B63" i="4"/>
  <c r="B55" i="4"/>
  <c r="B47" i="4"/>
  <c r="C104" i="4"/>
  <c r="C96" i="4"/>
  <c r="C88" i="4"/>
  <c r="C80" i="4"/>
  <c r="C72" i="4"/>
  <c r="C64" i="4"/>
  <c r="C56" i="4"/>
  <c r="C48" i="4"/>
  <c r="C40" i="4"/>
  <c r="C32" i="4"/>
  <c r="E109" i="4"/>
  <c r="E105" i="4"/>
  <c r="E101" i="4"/>
  <c r="E97" i="4"/>
  <c r="E93" i="4"/>
  <c r="E89" i="4"/>
  <c r="E85" i="4"/>
  <c r="E81" i="4"/>
  <c r="I81" i="4" s="1"/>
  <c r="E77" i="4"/>
  <c r="E73" i="4"/>
  <c r="E69" i="4"/>
  <c r="E65" i="4"/>
  <c r="E61" i="4"/>
  <c r="E57" i="4"/>
  <c r="E53" i="4"/>
  <c r="E49" i="4"/>
  <c r="E45" i="4"/>
  <c r="E41" i="4"/>
  <c r="E37" i="4"/>
  <c r="E33" i="4"/>
  <c r="E29" i="4"/>
  <c r="F110" i="4"/>
  <c r="G107" i="4"/>
  <c r="H104" i="4"/>
  <c r="F102" i="4"/>
  <c r="G99" i="4"/>
  <c r="H96" i="4"/>
  <c r="F94" i="4"/>
  <c r="G91" i="4"/>
  <c r="H88" i="4"/>
  <c r="F86" i="4"/>
  <c r="G83" i="4"/>
  <c r="H80" i="4"/>
  <c r="F78" i="4"/>
  <c r="G75" i="4"/>
  <c r="H72" i="4"/>
  <c r="F70" i="4"/>
  <c r="G67" i="4"/>
  <c r="H64" i="4"/>
  <c r="F62" i="4"/>
  <c r="G59" i="4"/>
  <c r="H56" i="4"/>
  <c r="F54" i="4"/>
  <c r="G51" i="4"/>
  <c r="H48" i="4"/>
  <c r="F46" i="4"/>
  <c r="G43" i="4"/>
  <c r="H40" i="4"/>
  <c r="G35" i="4"/>
  <c r="H32" i="4"/>
  <c r="G27" i="4"/>
  <c r="D109" i="4"/>
  <c r="D101" i="4"/>
  <c r="D93" i="4"/>
  <c r="D85" i="4"/>
  <c r="D77" i="4"/>
  <c r="D69" i="4"/>
  <c r="D61" i="4"/>
  <c r="D53" i="4"/>
  <c r="D45" i="4"/>
  <c r="D37" i="4"/>
  <c r="D29" i="4"/>
  <c r="K48" i="4" l="1"/>
  <c r="I54" i="4"/>
  <c r="K104" i="4"/>
  <c r="K61" i="4"/>
  <c r="I60" i="4"/>
  <c r="I52" i="4"/>
  <c r="K66" i="4"/>
  <c r="K85" i="4"/>
  <c r="K77" i="4"/>
  <c r="K64" i="4"/>
  <c r="I88" i="4"/>
  <c r="K87" i="4"/>
  <c r="K71" i="4"/>
  <c r="I59" i="4"/>
  <c r="K68" i="4"/>
  <c r="I48" i="4"/>
  <c r="K91" i="4"/>
  <c r="I108" i="4"/>
  <c r="K80" i="4"/>
  <c r="K69" i="4"/>
  <c r="K54" i="4"/>
  <c r="K45" i="4"/>
  <c r="K109" i="4"/>
  <c r="K88" i="4"/>
  <c r="I57" i="4"/>
  <c r="I84" i="4"/>
  <c r="I56" i="4"/>
  <c r="I51" i="4"/>
  <c r="K108" i="4"/>
  <c r="I55" i="4"/>
  <c r="I87" i="4"/>
  <c r="K106" i="4"/>
  <c r="I67" i="4"/>
  <c r="I92" i="4"/>
  <c r="K86" i="4"/>
  <c r="K107" i="4"/>
  <c r="K51" i="4"/>
  <c r="I65" i="4"/>
  <c r="K89" i="4"/>
  <c r="K92" i="4"/>
  <c r="I63" i="4"/>
  <c r="I95" i="4"/>
  <c r="K47" i="4"/>
  <c r="K90" i="4"/>
  <c r="I99" i="4"/>
  <c r="K94" i="4"/>
  <c r="I109" i="4"/>
  <c r="K56" i="4"/>
  <c r="K101" i="4"/>
  <c r="I102" i="4"/>
  <c r="I82" i="4"/>
  <c r="K63" i="4"/>
  <c r="I80" i="4"/>
  <c r="I76" i="4"/>
  <c r="K105" i="4"/>
  <c r="K60" i="4"/>
  <c r="K103" i="4"/>
  <c r="I47" i="4"/>
  <c r="I79" i="4"/>
  <c r="I91" i="4"/>
  <c r="K58" i="4"/>
  <c r="K82" i="4"/>
  <c r="I58" i="4"/>
  <c r="K84" i="4"/>
  <c r="I85" i="4"/>
  <c r="I104" i="4"/>
  <c r="K59" i="4"/>
  <c r="K81" i="4"/>
  <c r="K102" i="4"/>
  <c r="I89" i="4"/>
  <c r="K70" i="4"/>
  <c r="I98" i="4"/>
  <c r="K79" i="4"/>
  <c r="K100" i="4"/>
  <c r="I107" i="4"/>
  <c r="I83" i="4"/>
  <c r="K55" i="4"/>
  <c r="K98" i="4"/>
  <c r="I103" i="4"/>
  <c r="K53" i="4"/>
  <c r="K74" i="4"/>
  <c r="K95" i="4"/>
  <c r="I68" i="4"/>
  <c r="I100" i="4"/>
  <c r="I69" i="4"/>
  <c r="K50" i="4"/>
  <c r="K72" i="4"/>
  <c r="K93" i="4"/>
  <c r="K75" i="4"/>
  <c r="I72" i="4"/>
  <c r="I77" i="4"/>
  <c r="K73" i="4"/>
  <c r="I86" i="4"/>
  <c r="I106" i="4"/>
  <c r="K96" i="4"/>
  <c r="I70" i="4"/>
  <c r="K49" i="4"/>
  <c r="I73" i="4"/>
  <c r="I74" i="4"/>
  <c r="K52" i="4"/>
  <c r="K62" i="4"/>
  <c r="K83" i="4"/>
  <c r="I101" i="4"/>
  <c r="I93" i="4"/>
  <c r="I105" i="4"/>
  <c r="I50" i="4"/>
  <c r="I97" i="4"/>
  <c r="I64" i="4"/>
  <c r="K46" i="4"/>
  <c r="K67" i="4"/>
  <c r="K110" i="4"/>
  <c r="I94" i="4"/>
  <c r="I45" i="4"/>
  <c r="I62" i="4"/>
  <c r="I49" i="4"/>
  <c r="I53" i="4"/>
  <c r="I61" i="4"/>
  <c r="I96" i="4"/>
  <c r="K57" i="4"/>
  <c r="K78" i="4"/>
  <c r="K99" i="4"/>
  <c r="K65" i="4"/>
  <c r="K97" i="4"/>
  <c r="I46" i="4"/>
  <c r="I78" i="4"/>
  <c r="I110" i="4"/>
  <c r="I90" i="4"/>
  <c r="K76" i="4"/>
  <c r="I71" i="4"/>
  <c r="I75" i="4"/>
  <c r="I27" i="4"/>
  <c r="K44" i="4" l="1"/>
  <c r="I41" i="4"/>
  <c r="I33" i="4"/>
  <c r="K37" i="4"/>
  <c r="K29" i="4"/>
  <c r="I43" i="4"/>
  <c r="I35" i="4"/>
  <c r="K39" i="4"/>
  <c r="K31" i="4"/>
  <c r="I40" i="4"/>
  <c r="I32" i="4"/>
  <c r="K36" i="4"/>
  <c r="K28" i="4"/>
  <c r="K42" i="4"/>
  <c r="I39" i="4"/>
  <c r="I31" i="4"/>
  <c r="K43" i="4"/>
  <c r="K35" i="4"/>
  <c r="K27" i="4"/>
  <c r="I38" i="4"/>
  <c r="I37" i="4"/>
  <c r="I29" i="4"/>
  <c r="K41" i="4"/>
  <c r="K33" i="4"/>
  <c r="I26" i="4"/>
  <c r="I30" i="4"/>
  <c r="K34" i="4"/>
  <c r="I44" i="4"/>
  <c r="I36" i="4"/>
  <c r="I28" i="4"/>
  <c r="K40" i="4"/>
  <c r="K32" i="4"/>
  <c r="I42" i="4"/>
  <c r="I34" i="4"/>
  <c r="K26" i="4"/>
  <c r="K38" i="4"/>
  <c r="K30" i="4"/>
  <c r="F3" i="9"/>
  <c r="F89" i="9"/>
  <c r="F89" i="3"/>
  <c r="C19" i="4" l="1"/>
  <c r="C20" i="4" l="1"/>
  <c r="C25" i="4"/>
  <c r="F25" i="4"/>
  <c r="G90" i="9"/>
  <c r="AF93" i="3"/>
  <c r="A76" i="3"/>
  <c r="R14" i="4" s="1"/>
  <c r="A26" i="3"/>
  <c r="A27" i="3"/>
  <c r="A28" i="3"/>
  <c r="A29" i="3"/>
  <c r="A30" i="3"/>
  <c r="A31" i="3"/>
  <c r="A32" i="3"/>
  <c r="A33" i="3"/>
  <c r="A34" i="3"/>
  <c r="A35" i="3"/>
  <c r="A36" i="3"/>
  <c r="A37" i="3"/>
  <c r="A38" i="3"/>
  <c r="A39" i="3"/>
  <c r="A40" i="3"/>
  <c r="A41" i="3"/>
  <c r="A54" i="3"/>
  <c r="A53" i="3"/>
  <c r="A52" i="3"/>
  <c r="A51" i="3"/>
  <c r="A50" i="3"/>
  <c r="A49" i="3"/>
  <c r="A48" i="3"/>
  <c r="A47" i="3"/>
  <c r="A46" i="3"/>
  <c r="A45" i="3"/>
  <c r="A44" i="3"/>
  <c r="A43" i="3"/>
  <c r="A42" i="3"/>
  <c r="A55" i="3"/>
  <c r="A63" i="3"/>
  <c r="A62" i="3"/>
  <c r="A61" i="3"/>
  <c r="A60" i="3"/>
  <c r="A59" i="3"/>
  <c r="A58" i="3"/>
  <c r="A57" i="3"/>
  <c r="A56" i="3"/>
  <c r="A70" i="3"/>
  <c r="R20" i="4" s="1"/>
  <c r="A69" i="3"/>
  <c r="R21" i="4" s="1"/>
  <c r="A68" i="3"/>
  <c r="A67" i="3"/>
  <c r="A66" i="3"/>
  <c r="A65" i="3"/>
  <c r="A64" i="3"/>
  <c r="A71" i="3"/>
  <c r="R19" i="4" s="1"/>
  <c r="A72" i="3"/>
  <c r="R18" i="4" s="1"/>
  <c r="A73" i="3"/>
  <c r="R17" i="4" s="1"/>
  <c r="A74" i="3"/>
  <c r="R16" i="4" s="1"/>
  <c r="A75" i="3"/>
  <c r="R15" i="4" s="1"/>
  <c r="A77" i="3"/>
  <c r="R13" i="4" s="1"/>
  <c r="D6" i="4"/>
  <c r="B87" i="3"/>
  <c r="S3" i="4" s="1"/>
  <c r="B85" i="3"/>
  <c r="S5" i="4" s="1"/>
  <c r="C77" i="3"/>
  <c r="T13" i="4" s="1"/>
  <c r="B77" i="3"/>
  <c r="S13" i="4" s="1"/>
  <c r="C76" i="3"/>
  <c r="T14" i="4" s="1"/>
  <c r="B76" i="3"/>
  <c r="S14" i="4" s="1"/>
  <c r="C75" i="3"/>
  <c r="T15" i="4" s="1"/>
  <c r="B75" i="3"/>
  <c r="S15" i="4" s="1"/>
  <c r="C74" i="3"/>
  <c r="T16" i="4" s="1"/>
  <c r="B74" i="3"/>
  <c r="S16" i="4" s="1"/>
  <c r="C73" i="3"/>
  <c r="T17" i="4" s="1"/>
  <c r="B73" i="3"/>
  <c r="S17" i="4" s="1"/>
  <c r="C72" i="3"/>
  <c r="T18" i="4" s="1"/>
  <c r="B72" i="3"/>
  <c r="S18" i="4" s="1"/>
  <c r="C71" i="3"/>
  <c r="T19" i="4" s="1"/>
  <c r="B71" i="3"/>
  <c r="S19" i="4" s="1"/>
  <c r="C70" i="3"/>
  <c r="T20" i="4" s="1"/>
  <c r="B70" i="3"/>
  <c r="S20" i="4" s="1"/>
  <c r="C69" i="3"/>
  <c r="T21" i="4" s="1"/>
  <c r="B69" i="3"/>
  <c r="S21" i="4" s="1"/>
  <c r="C68" i="3"/>
  <c r="B68" i="3"/>
  <c r="C67" i="3"/>
  <c r="B67" i="3"/>
  <c r="C66" i="3"/>
  <c r="B66" i="3"/>
  <c r="C65" i="3"/>
  <c r="B65" i="3"/>
  <c r="C64" i="3"/>
  <c r="B64" i="3"/>
  <c r="C63" i="3"/>
  <c r="B63" i="3"/>
  <c r="C62" i="3"/>
  <c r="B62" i="3"/>
  <c r="C61" i="3"/>
  <c r="B61" i="3"/>
  <c r="C60" i="3"/>
  <c r="B60" i="3"/>
  <c r="C59" i="3"/>
  <c r="B59" i="3"/>
  <c r="C58" i="3"/>
  <c r="B58" i="3"/>
  <c r="C57" i="3"/>
  <c r="B57" i="3"/>
  <c r="C56" i="3"/>
  <c r="B56" i="3"/>
  <c r="C55" i="3"/>
  <c r="B55" i="3"/>
  <c r="C54" i="3"/>
  <c r="B54" i="3"/>
  <c r="C53" i="3"/>
  <c r="B53" i="3"/>
  <c r="C52" i="3"/>
  <c r="B52" i="3"/>
  <c r="C51" i="3"/>
  <c r="B51" i="3"/>
  <c r="C50" i="3"/>
  <c r="B50" i="3"/>
  <c r="C49" i="3"/>
  <c r="B49" i="3"/>
  <c r="C48" i="3"/>
  <c r="B48" i="3"/>
  <c r="C47" i="3"/>
  <c r="B47" i="3"/>
  <c r="C46" i="3"/>
  <c r="B46" i="3"/>
  <c r="C45" i="3"/>
  <c r="B45" i="3"/>
  <c r="C44" i="3"/>
  <c r="B44" i="3"/>
  <c r="C43" i="3"/>
  <c r="B43" i="3"/>
  <c r="C42" i="3"/>
  <c r="B42" i="3"/>
  <c r="C41" i="3"/>
  <c r="B41" i="3"/>
  <c r="C40" i="3"/>
  <c r="B40" i="3"/>
  <c r="C39" i="3"/>
  <c r="B39" i="3"/>
  <c r="C38" i="3"/>
  <c r="B38" i="3"/>
  <c r="C37" i="3"/>
  <c r="B37" i="3"/>
  <c r="C36" i="3"/>
  <c r="B36" i="3"/>
  <c r="C35" i="3"/>
  <c r="B35" i="3"/>
  <c r="C34" i="3"/>
  <c r="B34" i="3"/>
  <c r="C33" i="3"/>
  <c r="B33" i="3"/>
  <c r="C32" i="3"/>
  <c r="B32" i="3"/>
  <c r="C31" i="3"/>
  <c r="B31" i="3"/>
  <c r="C30" i="3"/>
  <c r="B30" i="3"/>
  <c r="C29" i="3"/>
  <c r="B29" i="3"/>
  <c r="C28" i="3"/>
  <c r="B28" i="3"/>
  <c r="C27" i="3"/>
  <c r="B27" i="3"/>
  <c r="C26" i="3"/>
  <c r="B26" i="3"/>
  <c r="C25" i="3"/>
  <c r="B25" i="3"/>
  <c r="C24" i="3"/>
  <c r="B24" i="3"/>
  <c r="C23" i="3"/>
  <c r="B23" i="3"/>
  <c r="C22" i="3"/>
  <c r="B22" i="3"/>
  <c r="C21" i="3"/>
  <c r="B21" i="3"/>
  <c r="C20" i="3"/>
  <c r="B20" i="3"/>
  <c r="C19" i="3"/>
  <c r="B19" i="3"/>
  <c r="C18" i="3"/>
  <c r="B18" i="3"/>
  <c r="C17" i="3"/>
  <c r="B17" i="3"/>
  <c r="C16" i="3"/>
  <c r="B16" i="3"/>
  <c r="C15" i="3"/>
  <c r="B15" i="3"/>
  <c r="C14" i="3"/>
  <c r="B14" i="3"/>
  <c r="C13" i="3"/>
  <c r="B13" i="3"/>
  <c r="C12" i="3"/>
  <c r="B12" i="3"/>
  <c r="C11" i="3"/>
  <c r="B11" i="3"/>
  <c r="C10" i="3"/>
  <c r="B10" i="3"/>
  <c r="C9" i="3"/>
  <c r="B9" i="3"/>
  <c r="C8" i="3"/>
  <c r="B8" i="3"/>
  <c r="C7" i="3"/>
  <c r="B7" i="3"/>
  <c r="C6" i="3"/>
  <c r="B6" i="3"/>
  <c r="C5" i="3"/>
  <c r="B5" i="3"/>
  <c r="C4" i="3"/>
  <c r="B4" i="3"/>
  <c r="C86" i="3"/>
  <c r="T4" i="4" s="1"/>
  <c r="B86" i="3"/>
  <c r="S4" i="4" s="1"/>
  <c r="C85" i="3"/>
  <c r="T5" i="4" s="1"/>
  <c r="C84" i="3"/>
  <c r="T6" i="4" s="1"/>
  <c r="B84" i="3"/>
  <c r="S6" i="4" s="1"/>
  <c r="C83" i="3"/>
  <c r="T7" i="4" s="1"/>
  <c r="B83" i="3"/>
  <c r="S7" i="4" s="1"/>
  <c r="C82" i="3"/>
  <c r="T8" i="4" s="1"/>
  <c r="B82" i="3"/>
  <c r="S8" i="4" s="1"/>
  <c r="C81" i="3"/>
  <c r="T9" i="4" s="1"/>
  <c r="B81" i="3"/>
  <c r="S9" i="4" s="1"/>
  <c r="C80" i="3"/>
  <c r="T10" i="4" s="1"/>
  <c r="B80" i="3"/>
  <c r="S10" i="4" s="1"/>
  <c r="C79" i="3"/>
  <c r="T11" i="4" s="1"/>
  <c r="B79" i="3"/>
  <c r="S11" i="4" s="1"/>
  <c r="C78" i="3"/>
  <c r="T12" i="4" s="1"/>
  <c r="B78" i="3"/>
  <c r="S12" i="4" s="1"/>
  <c r="C87" i="3"/>
  <c r="T3" i="4" s="1"/>
  <c r="C88" i="3"/>
  <c r="T2" i="4" s="1"/>
  <c r="B88" i="3"/>
  <c r="S2" i="4" s="1"/>
  <c r="A78" i="3"/>
  <c r="R12" i="4" s="1"/>
  <c r="A79" i="3"/>
  <c r="R11" i="4" s="1"/>
  <c r="A80" i="3"/>
  <c r="R10" i="4" s="1"/>
  <c r="A81" i="3"/>
  <c r="R9" i="4" s="1"/>
  <c r="A82" i="3"/>
  <c r="R8" i="4" s="1"/>
  <c r="A83" i="3"/>
  <c r="R7" i="4" s="1"/>
  <c r="A84" i="3"/>
  <c r="R6" i="4" s="1"/>
  <c r="A85" i="3"/>
  <c r="R5" i="4" s="1"/>
  <c r="A86" i="3"/>
  <c r="R4" i="4" s="1"/>
  <c r="A87" i="3"/>
  <c r="R3" i="4" s="1"/>
  <c r="A88" i="3"/>
  <c r="R2" i="4" s="1"/>
  <c r="F3" i="3"/>
  <c r="Q146" i="1"/>
  <c r="K3" i="1" s="1"/>
  <c r="G146" i="1"/>
  <c r="R146" i="1"/>
  <c r="F146" i="1"/>
  <c r="F152" i="1" s="1"/>
  <c r="F2" i="1"/>
  <c r="M3" i="2" s="1"/>
  <c r="E4" i="1"/>
  <c r="H30" i="2" s="1"/>
  <c r="J90" i="9" l="1"/>
  <c r="J3" i="9" s="1"/>
  <c r="G3" i="9"/>
  <c r="C21" i="4"/>
  <c r="E25" i="4" s="1"/>
  <c r="D25" i="4"/>
  <c r="G25" i="4"/>
  <c r="H90" i="9"/>
  <c r="D9" i="3"/>
  <c r="D29" i="3"/>
  <c r="E29" i="3" s="1"/>
  <c r="D49" i="3"/>
  <c r="E49" i="3" s="1"/>
  <c r="D43" i="3"/>
  <c r="E43" i="3" s="1"/>
  <c r="D21" i="3"/>
  <c r="E21" i="3" s="1"/>
  <c r="D8" i="3"/>
  <c r="D12" i="3"/>
  <c r="D16" i="3"/>
  <c r="D20" i="3"/>
  <c r="E20" i="3" s="1"/>
  <c r="D24" i="3"/>
  <c r="E24" i="3" s="1"/>
  <c r="D28" i="3"/>
  <c r="E28" i="3" s="1"/>
  <c r="D32" i="3"/>
  <c r="E32" i="3" s="1"/>
  <c r="D36" i="3"/>
  <c r="E36" i="3" s="1"/>
  <c r="D40" i="3"/>
  <c r="E40" i="3" s="1"/>
  <c r="D44" i="3"/>
  <c r="E44" i="3" s="1"/>
  <c r="D48" i="3"/>
  <c r="E48" i="3" s="1"/>
  <c r="D52" i="3"/>
  <c r="E52" i="3" s="1"/>
  <c r="D60" i="3"/>
  <c r="E60" i="3" s="1"/>
  <c r="D64" i="3"/>
  <c r="E64" i="3" s="1"/>
  <c r="D68" i="3"/>
  <c r="E68" i="3" s="1"/>
  <c r="D37" i="3"/>
  <c r="E37" i="3" s="1"/>
  <c r="D55" i="3"/>
  <c r="E55" i="3" s="1"/>
  <c r="D17" i="3"/>
  <c r="D70" i="3"/>
  <c r="E70" i="3" s="1"/>
  <c r="D25" i="3"/>
  <c r="E25" i="3" s="1"/>
  <c r="D57" i="3"/>
  <c r="E57" i="3" s="1"/>
  <c r="D39" i="3"/>
  <c r="E39" i="3" s="1"/>
  <c r="D51" i="3"/>
  <c r="E51" i="3" s="1"/>
  <c r="D82" i="3"/>
  <c r="U8" i="4" s="1"/>
  <c r="D45" i="3"/>
  <c r="E45" i="3" s="1"/>
  <c r="D73" i="3"/>
  <c r="U17" i="4" s="1"/>
  <c r="D56" i="3"/>
  <c r="E56" i="3" s="1"/>
  <c r="D85" i="3"/>
  <c r="U5" i="4" s="1"/>
  <c r="D53" i="3"/>
  <c r="E53" i="3" s="1"/>
  <c r="D87" i="3"/>
  <c r="E87" i="3" s="1"/>
  <c r="D74" i="3"/>
  <c r="E74" i="3" s="1"/>
  <c r="D65" i="3"/>
  <c r="E65" i="3" s="1"/>
  <c r="D69" i="3"/>
  <c r="U21" i="4" s="1"/>
  <c r="D81" i="3"/>
  <c r="E81" i="3" s="1"/>
  <c r="D72" i="3"/>
  <c r="E72" i="3" s="1"/>
  <c r="D6" i="3"/>
  <c r="D14" i="3"/>
  <c r="D22" i="3"/>
  <c r="E22" i="3" s="1"/>
  <c r="D34" i="3"/>
  <c r="E34" i="3" s="1"/>
  <c r="D42" i="3"/>
  <c r="E42" i="3" s="1"/>
  <c r="D50" i="3"/>
  <c r="E50" i="3" s="1"/>
  <c r="D58" i="3"/>
  <c r="E58" i="3" s="1"/>
  <c r="D75" i="3"/>
  <c r="D7" i="3"/>
  <c r="D15" i="3"/>
  <c r="D27" i="3"/>
  <c r="E27" i="3" s="1"/>
  <c r="D59" i="3"/>
  <c r="E59" i="3" s="1"/>
  <c r="D5" i="3"/>
  <c r="D80" i="3"/>
  <c r="U10" i="4" s="1"/>
  <c r="D77" i="3"/>
  <c r="D13" i="3"/>
  <c r="D33" i="3"/>
  <c r="E33" i="3" s="1"/>
  <c r="D41" i="3"/>
  <c r="E41" i="3" s="1"/>
  <c r="D61" i="3"/>
  <c r="E61" i="3" s="1"/>
  <c r="D83" i="3"/>
  <c r="E83" i="3" s="1"/>
  <c r="D88" i="3"/>
  <c r="D78" i="3"/>
  <c r="E78" i="3" s="1"/>
  <c r="D71" i="3"/>
  <c r="D79" i="3"/>
  <c r="D11" i="3"/>
  <c r="D19" i="3"/>
  <c r="D23" i="3"/>
  <c r="E23" i="3" s="1"/>
  <c r="D31" i="3"/>
  <c r="E31" i="3" s="1"/>
  <c r="D35" i="3"/>
  <c r="E35" i="3" s="1"/>
  <c r="D47" i="3"/>
  <c r="E47" i="3" s="1"/>
  <c r="D63" i="3"/>
  <c r="E63" i="3" s="1"/>
  <c r="D67" i="3"/>
  <c r="E67" i="3" s="1"/>
  <c r="D84" i="3"/>
  <c r="D76" i="3"/>
  <c r="D86" i="3"/>
  <c r="D10" i="3"/>
  <c r="D18" i="3"/>
  <c r="D26" i="3"/>
  <c r="E26" i="3" s="1"/>
  <c r="D30" i="3"/>
  <c r="E30" i="3" s="1"/>
  <c r="D38" i="3"/>
  <c r="E38" i="3" s="1"/>
  <c r="D46" i="3"/>
  <c r="E46" i="3" s="1"/>
  <c r="D54" i="3"/>
  <c r="E54" i="3" s="1"/>
  <c r="D62" i="3"/>
  <c r="E62" i="3" s="1"/>
  <c r="D66" i="3"/>
  <c r="E66" i="3" s="1"/>
  <c r="F5" i="1"/>
  <c r="H16" i="2" s="1"/>
  <c r="P16" i="2" s="1"/>
  <c r="J9" i="12" s="1"/>
  <c r="D4" i="3"/>
  <c r="J3" i="1"/>
  <c r="L3" i="1" s="1"/>
  <c r="G152" i="1"/>
  <c r="L2" i="2"/>
  <c r="C4" i="4"/>
  <c r="D4" i="4"/>
  <c r="I28" i="2"/>
  <c r="C93" i="3"/>
  <c r="V5" i="4" l="1"/>
  <c r="V17" i="4"/>
  <c r="V10" i="4"/>
  <c r="V21" i="4"/>
  <c r="Y21" i="4"/>
  <c r="W21" i="4" s="1"/>
  <c r="V8" i="4"/>
  <c r="A16" i="2"/>
  <c r="K16" i="2"/>
  <c r="E16" i="2"/>
  <c r="B16" i="2"/>
  <c r="A11" i="5" s="1"/>
  <c r="O16" i="2"/>
  <c r="N16" i="2"/>
  <c r="I16" i="2"/>
  <c r="L16" i="2"/>
  <c r="C16" i="2"/>
  <c r="D16" i="2"/>
  <c r="J16" i="2"/>
  <c r="M16" i="2"/>
  <c r="G16" i="2"/>
  <c r="F16" i="2"/>
  <c r="K90" i="9"/>
  <c r="K3" i="9" s="1"/>
  <c r="H3" i="9"/>
  <c r="H25" i="4"/>
  <c r="I90" i="9"/>
  <c r="E80" i="3"/>
  <c r="U20" i="4"/>
  <c r="E85" i="3"/>
  <c r="E82" i="3"/>
  <c r="U3" i="4"/>
  <c r="U16" i="4"/>
  <c r="E73" i="3"/>
  <c r="E69" i="3"/>
  <c r="U7" i="4"/>
  <c r="U18" i="4"/>
  <c r="E75" i="3"/>
  <c r="U15" i="4"/>
  <c r="U9" i="4"/>
  <c r="Y8" i="4" s="1"/>
  <c r="W8" i="4" s="1"/>
  <c r="E88" i="3"/>
  <c r="U2" i="4"/>
  <c r="U13" i="4"/>
  <c r="E77" i="3"/>
  <c r="E79" i="3"/>
  <c r="U11" i="4"/>
  <c r="Y10" i="4" s="1"/>
  <c r="W10" i="4" s="1"/>
  <c r="E71" i="3"/>
  <c r="U19" i="4"/>
  <c r="U14" i="4"/>
  <c r="E76" i="3"/>
  <c r="U4" i="4"/>
  <c r="E86" i="3"/>
  <c r="U12" i="4"/>
  <c r="E84" i="3"/>
  <c r="U6" i="4"/>
  <c r="H15" i="2"/>
  <c r="P15" i="2" s="1"/>
  <c r="J8" i="12" s="1"/>
  <c r="H17" i="2"/>
  <c r="P17" i="2" s="1"/>
  <c r="J10" i="12" s="1"/>
  <c r="B11" i="5"/>
  <c r="G11" i="5" s="1"/>
  <c r="M3" i="1"/>
  <c r="C11" i="5" l="1"/>
  <c r="Q16" i="2"/>
  <c r="K9" i="12" s="1"/>
  <c r="R16" i="2"/>
  <c r="L9" i="12" s="1"/>
  <c r="V6" i="4"/>
  <c r="Y6" i="4"/>
  <c r="W6" i="4" s="1"/>
  <c r="V15" i="4"/>
  <c r="Y15" i="4"/>
  <c r="W15" i="4" s="1"/>
  <c r="V12" i="4"/>
  <c r="Y12" i="4"/>
  <c r="W12" i="4" s="1"/>
  <c r="V18" i="4"/>
  <c r="Y18" i="4"/>
  <c r="W18" i="4" s="1"/>
  <c r="V20" i="4"/>
  <c r="Y20" i="4"/>
  <c r="W20" i="4" s="1"/>
  <c r="V7" i="4"/>
  <c r="Y7" i="4"/>
  <c r="W7" i="4" s="1"/>
  <c r="Y17" i="4"/>
  <c r="W17" i="4" s="1"/>
  <c r="V13" i="4"/>
  <c r="Y13" i="4"/>
  <c r="W13" i="4" s="1"/>
  <c r="V11" i="4"/>
  <c r="Y11" i="4"/>
  <c r="W11" i="4" s="1"/>
  <c r="V4" i="4"/>
  <c r="Y4" i="4"/>
  <c r="W4" i="4" s="1"/>
  <c r="V2" i="4"/>
  <c r="Y2" i="4"/>
  <c r="W2" i="4" s="1"/>
  <c r="V14" i="4"/>
  <c r="Y14" i="4"/>
  <c r="W14" i="4" s="1"/>
  <c r="V16" i="4"/>
  <c r="Y16" i="4"/>
  <c r="W16" i="4" s="1"/>
  <c r="Y5" i="4"/>
  <c r="W5" i="4" s="1"/>
  <c r="V19" i="4"/>
  <c r="Y19" i="4"/>
  <c r="W19" i="4" s="1"/>
  <c r="V9" i="4"/>
  <c r="Y9" i="4"/>
  <c r="W9" i="4" s="1"/>
  <c r="V3" i="4"/>
  <c r="Y3" i="4"/>
  <c r="W3" i="4" s="1"/>
  <c r="A15" i="2"/>
  <c r="K15" i="2"/>
  <c r="N15" i="2"/>
  <c r="E15" i="2"/>
  <c r="B15" i="2"/>
  <c r="A10" i="5" s="1"/>
  <c r="D15" i="2"/>
  <c r="I15" i="2"/>
  <c r="G15" i="2"/>
  <c r="L15" i="2"/>
  <c r="C15" i="2"/>
  <c r="O15" i="2"/>
  <c r="F15" i="2"/>
  <c r="J15" i="2"/>
  <c r="M15" i="2"/>
  <c r="M17" i="2"/>
  <c r="G17" i="2"/>
  <c r="A17" i="2"/>
  <c r="K17" i="2"/>
  <c r="N17" i="2"/>
  <c r="E17" i="2"/>
  <c r="B17" i="2"/>
  <c r="A12" i="5" s="1"/>
  <c r="I17" i="2"/>
  <c r="C17" i="2"/>
  <c r="O17" i="2"/>
  <c r="F17" i="2"/>
  <c r="D17" i="2"/>
  <c r="J17" i="2"/>
  <c r="L17" i="2"/>
  <c r="L90" i="9"/>
  <c r="L3" i="9" s="1"/>
  <c r="I3" i="9"/>
  <c r="B12" i="5"/>
  <c r="G12" i="5" s="1"/>
  <c r="B10" i="5"/>
  <c r="G10" i="5" s="1"/>
  <c r="H14" i="2"/>
  <c r="P14" i="2" s="1"/>
  <c r="J7" i="12" s="1"/>
  <c r="H18" i="2"/>
  <c r="P18" i="2" s="1"/>
  <c r="J11" i="12" s="1"/>
  <c r="C12" i="5" l="1"/>
  <c r="Q17" i="2"/>
  <c r="K10" i="12" s="1"/>
  <c r="R17" i="2"/>
  <c r="L10" i="12" s="1"/>
  <c r="C10" i="5"/>
  <c r="Q15" i="2"/>
  <c r="K8" i="12" s="1"/>
  <c r="R15" i="2"/>
  <c r="L8" i="12" s="1"/>
  <c r="K14" i="2"/>
  <c r="N14" i="2"/>
  <c r="E14" i="2"/>
  <c r="B14" i="2"/>
  <c r="A9" i="5" s="1"/>
  <c r="I14" i="2"/>
  <c r="G14" i="2"/>
  <c r="L14" i="2"/>
  <c r="C14" i="2"/>
  <c r="O14" i="2"/>
  <c r="F14" i="2"/>
  <c r="D14" i="2"/>
  <c r="J14" i="2"/>
  <c r="A14" i="2"/>
  <c r="M14" i="2"/>
  <c r="O18" i="2"/>
  <c r="D18" i="2"/>
  <c r="J18" i="2"/>
  <c r="B18" i="2"/>
  <c r="A13" i="5" s="1"/>
  <c r="M18" i="2"/>
  <c r="G18" i="2"/>
  <c r="A18" i="2"/>
  <c r="E18" i="2"/>
  <c r="K18" i="2"/>
  <c r="N18" i="2"/>
  <c r="L18" i="2"/>
  <c r="C18" i="2"/>
  <c r="F18" i="2"/>
  <c r="I18" i="2"/>
  <c r="H13" i="2"/>
  <c r="P13" i="2" s="1"/>
  <c r="J6" i="12" s="1"/>
  <c r="B9" i="5"/>
  <c r="G9" i="5" s="1"/>
  <c r="B13" i="5"/>
  <c r="G13" i="5" s="1"/>
  <c r="H19" i="2"/>
  <c r="P19" i="2" s="1"/>
  <c r="J12" i="12" s="1"/>
  <c r="C9" i="5" l="1"/>
  <c r="R14" i="2"/>
  <c r="L7" i="12" s="1"/>
  <c r="Q14" i="2"/>
  <c r="K7" i="12" s="1"/>
  <c r="C13" i="5"/>
  <c r="Q18" i="2"/>
  <c r="K11" i="12" s="1"/>
  <c r="R18" i="2"/>
  <c r="L11" i="12" s="1"/>
  <c r="N13" i="2"/>
  <c r="I13" i="2"/>
  <c r="G13" i="2"/>
  <c r="O13" i="2"/>
  <c r="A13" i="2"/>
  <c r="L13" i="2"/>
  <c r="C13" i="2"/>
  <c r="D13" i="2"/>
  <c r="F13" i="2"/>
  <c r="J13" i="2"/>
  <c r="M13" i="2"/>
  <c r="K13" i="2"/>
  <c r="E13" i="2"/>
  <c r="B13" i="2"/>
  <c r="A8" i="5" s="1"/>
  <c r="O19" i="2"/>
  <c r="F19" i="2"/>
  <c r="D19" i="2"/>
  <c r="J19" i="2"/>
  <c r="M19" i="2"/>
  <c r="G19" i="2"/>
  <c r="A19" i="2"/>
  <c r="K19" i="2"/>
  <c r="N19" i="2"/>
  <c r="E19" i="2"/>
  <c r="B19" i="2"/>
  <c r="A14" i="5" s="1"/>
  <c r="I19" i="2"/>
  <c r="L19" i="2"/>
  <c r="C19" i="2"/>
  <c r="H12" i="2"/>
  <c r="P12" i="2" s="1"/>
  <c r="J5" i="12" s="1"/>
  <c r="B8" i="5"/>
  <c r="G8" i="5" s="1"/>
  <c r="B14" i="5"/>
  <c r="G14" i="5" s="1"/>
  <c r="H20" i="2"/>
  <c r="P20" i="2" s="1"/>
  <c r="J13" i="12" s="1"/>
  <c r="C8" i="5" l="1"/>
  <c r="R13" i="2"/>
  <c r="L6" i="12" s="1"/>
  <c r="Q13" i="2"/>
  <c r="K6" i="12" s="1"/>
  <c r="C14" i="5"/>
  <c r="Q19" i="2"/>
  <c r="K12" i="12" s="1"/>
  <c r="R19" i="2"/>
  <c r="L12" i="12" s="1"/>
  <c r="L20" i="2"/>
  <c r="C20" i="2"/>
  <c r="O20" i="2"/>
  <c r="F20" i="2"/>
  <c r="D20" i="2"/>
  <c r="J20" i="2"/>
  <c r="M20" i="2"/>
  <c r="G20" i="2"/>
  <c r="A20" i="2"/>
  <c r="K20" i="2"/>
  <c r="N20" i="2"/>
  <c r="E20" i="2"/>
  <c r="B20" i="2"/>
  <c r="A15" i="5" s="1"/>
  <c r="I20" i="2"/>
  <c r="G12" i="2"/>
  <c r="L12" i="2"/>
  <c r="C12" i="2"/>
  <c r="O12" i="2"/>
  <c r="F12" i="2"/>
  <c r="D12" i="2"/>
  <c r="J12" i="2"/>
  <c r="M12" i="2"/>
  <c r="A12" i="2"/>
  <c r="N12" i="2"/>
  <c r="E12" i="2"/>
  <c r="B12" i="2"/>
  <c r="A7" i="5" s="1"/>
  <c r="I12" i="2"/>
  <c r="K12" i="2"/>
  <c r="B7" i="5"/>
  <c r="G7" i="5" s="1"/>
  <c r="H11" i="2"/>
  <c r="P11" i="2" s="1"/>
  <c r="E11" i="5"/>
  <c r="E10" i="5"/>
  <c r="E9" i="5"/>
  <c r="E13" i="5"/>
  <c r="E14" i="5"/>
  <c r="H21" i="2"/>
  <c r="P21" i="2" s="1"/>
  <c r="E12" i="5"/>
  <c r="B15" i="5"/>
  <c r="G15" i="5" s="1"/>
  <c r="E8" i="5"/>
  <c r="C7" i="5" l="1"/>
  <c r="E7" i="5" s="1"/>
  <c r="Q12" i="2"/>
  <c r="K5" i="12" s="1"/>
  <c r="R12" i="2"/>
  <c r="L5" i="12" s="1"/>
  <c r="C15" i="5"/>
  <c r="Q20" i="2"/>
  <c r="K13" i="12" s="1"/>
  <c r="R20" i="2"/>
  <c r="L13" i="12" s="1"/>
  <c r="C11" i="2"/>
  <c r="O11" i="2"/>
  <c r="F11" i="2"/>
  <c r="D11" i="2"/>
  <c r="J11" i="2"/>
  <c r="M11" i="2"/>
  <c r="A11" i="2"/>
  <c r="K11" i="2"/>
  <c r="B11" i="2"/>
  <c r="A6" i="5" s="1"/>
  <c r="I11" i="2"/>
  <c r="G11" i="2"/>
  <c r="L11" i="2"/>
  <c r="N11" i="2"/>
  <c r="E11" i="2"/>
  <c r="E21" i="2"/>
  <c r="I21" i="2"/>
  <c r="L21" i="2"/>
  <c r="C21" i="2"/>
  <c r="O21" i="2"/>
  <c r="F21" i="2"/>
  <c r="D21" i="2"/>
  <c r="J21" i="2"/>
  <c r="M21" i="2"/>
  <c r="K21" i="2"/>
  <c r="N21" i="2"/>
  <c r="B21" i="2"/>
  <c r="A16" i="5" s="1"/>
  <c r="G21" i="2"/>
  <c r="A21" i="2"/>
  <c r="B6" i="5"/>
  <c r="G6" i="5" s="1"/>
  <c r="H10" i="2"/>
  <c r="P10" i="2" s="1"/>
  <c r="H22" i="2"/>
  <c r="P22" i="2" s="1"/>
  <c r="B16" i="5"/>
  <c r="G16" i="5" s="1"/>
  <c r="E15" i="5"/>
  <c r="C16" i="5" l="1"/>
  <c r="R21" i="2"/>
  <c r="Q21" i="2"/>
  <c r="C6" i="5"/>
  <c r="Q11" i="2"/>
  <c r="R11" i="2"/>
  <c r="N22" i="2"/>
  <c r="E22" i="2"/>
  <c r="B22" i="2"/>
  <c r="A17" i="5" s="1"/>
  <c r="I22" i="2"/>
  <c r="L22" i="2"/>
  <c r="C22" i="2"/>
  <c r="O22" i="2"/>
  <c r="F22" i="2"/>
  <c r="D22" i="2"/>
  <c r="J22" i="2"/>
  <c r="M22" i="2"/>
  <c r="A22" i="2"/>
  <c r="K22" i="2"/>
  <c r="G22" i="2"/>
  <c r="O10" i="2"/>
  <c r="J10" i="2"/>
  <c r="E10" i="2"/>
  <c r="M10" i="2"/>
  <c r="B10" i="2"/>
  <c r="A5" i="5" s="1"/>
  <c r="A10" i="2"/>
  <c r="G10" i="2"/>
  <c r="K10" i="2"/>
  <c r="N10" i="2"/>
  <c r="I10" i="2"/>
  <c r="L10" i="2"/>
  <c r="C10" i="2"/>
  <c r="F10" i="2"/>
  <c r="D10" i="2"/>
  <c r="B5" i="5"/>
  <c r="E6" i="5"/>
  <c r="H9" i="2"/>
  <c r="P9" i="2" s="1"/>
  <c r="B17" i="5"/>
  <c r="G17" i="5" s="1"/>
  <c r="H23" i="2"/>
  <c r="P23" i="2" s="1"/>
  <c r="E16" i="5"/>
  <c r="C17" i="5" l="1"/>
  <c r="R22" i="2"/>
  <c r="Q22" i="2"/>
  <c r="C5" i="5"/>
  <c r="E5" i="5" s="1"/>
  <c r="Q10" i="2"/>
  <c r="R10" i="2"/>
  <c r="M9" i="2"/>
  <c r="K9" i="2"/>
  <c r="C9" i="2"/>
  <c r="A9" i="2"/>
  <c r="G9" i="2"/>
  <c r="N9" i="2"/>
  <c r="E9" i="2"/>
  <c r="B9" i="2"/>
  <c r="A4" i="5" s="1"/>
  <c r="I9" i="2"/>
  <c r="O9" i="2"/>
  <c r="F9" i="2"/>
  <c r="D9" i="2"/>
  <c r="J9" i="2"/>
  <c r="L9" i="2"/>
  <c r="K23" i="2"/>
  <c r="I23" i="2"/>
  <c r="N23" i="2"/>
  <c r="E23" i="2"/>
  <c r="B23" i="2"/>
  <c r="L23" i="2"/>
  <c r="C23" i="2"/>
  <c r="O23" i="2"/>
  <c r="D23" i="2"/>
  <c r="M23" i="2"/>
  <c r="G23" i="2"/>
  <c r="A23" i="2"/>
  <c r="F23" i="2"/>
  <c r="J23" i="2"/>
  <c r="H8" i="2"/>
  <c r="P8" i="2" s="1"/>
  <c r="G5" i="5"/>
  <c r="B4" i="5"/>
  <c r="G4" i="5" s="1"/>
  <c r="H24" i="2"/>
  <c r="P24" i="2" s="1"/>
  <c r="E17" i="5"/>
  <c r="R23" i="2" l="1"/>
  <c r="Q23" i="2"/>
  <c r="C4" i="5"/>
  <c r="Q9" i="2"/>
  <c r="R9" i="2"/>
  <c r="M24" i="2"/>
  <c r="A24" i="2"/>
  <c r="K24" i="2"/>
  <c r="F24" i="2"/>
  <c r="N24" i="2"/>
  <c r="E24" i="2"/>
  <c r="C24" i="2"/>
  <c r="O24" i="2"/>
  <c r="I24" i="2"/>
  <c r="L24" i="2"/>
  <c r="J24" i="2"/>
  <c r="G24" i="2"/>
  <c r="B24" i="2"/>
  <c r="D24" i="2"/>
  <c r="M8" i="2"/>
  <c r="A8" i="2"/>
  <c r="E8" i="2"/>
  <c r="B8" i="2"/>
  <c r="A3" i="5" s="1"/>
  <c r="C8" i="2"/>
  <c r="K8" i="2"/>
  <c r="D8" i="2"/>
  <c r="N8" i="2"/>
  <c r="I8" i="2"/>
  <c r="G8" i="2"/>
  <c r="L8" i="2"/>
  <c r="O8" i="2"/>
  <c r="F8" i="2"/>
  <c r="J8" i="2"/>
  <c r="E4" i="5"/>
  <c r="B3" i="5"/>
  <c r="G3" i="5" s="1"/>
  <c r="H7" i="2"/>
  <c r="P7" i="2" s="1"/>
  <c r="H25" i="2"/>
  <c r="P25" i="2" s="1"/>
  <c r="C3" i="5" l="1"/>
  <c r="Q8" i="2"/>
  <c r="R8" i="2"/>
  <c r="Q24" i="2"/>
  <c r="R24" i="2"/>
  <c r="A7" i="2"/>
  <c r="K7" i="2"/>
  <c r="D7" i="2"/>
  <c r="N7" i="2"/>
  <c r="E7" i="2"/>
  <c r="B7" i="2"/>
  <c r="A2" i="5" s="1"/>
  <c r="G7" i="2"/>
  <c r="F7" i="2"/>
  <c r="I7" i="2"/>
  <c r="L7" i="2"/>
  <c r="C7" i="2"/>
  <c r="O7" i="2"/>
  <c r="M7" i="2"/>
  <c r="J7" i="2"/>
  <c r="J25" i="2"/>
  <c r="M25" i="2"/>
  <c r="G25" i="2"/>
  <c r="A25" i="2"/>
  <c r="K25" i="2"/>
  <c r="N25" i="2"/>
  <c r="E25" i="2"/>
  <c r="B25" i="2"/>
  <c r="I25" i="2"/>
  <c r="O25" i="2"/>
  <c r="F25" i="2"/>
  <c r="D25" i="2"/>
  <c r="L25" i="2"/>
  <c r="C25" i="2"/>
  <c r="E3" i="5"/>
  <c r="B2" i="5"/>
  <c r="G2" i="5" s="1"/>
  <c r="H6" i="2"/>
  <c r="P6" i="2" s="1"/>
  <c r="H26" i="2"/>
  <c r="P26" i="2" s="1"/>
  <c r="Q25" i="2" l="1"/>
  <c r="R25" i="2"/>
  <c r="C2" i="5"/>
  <c r="R7" i="2"/>
  <c r="Q7" i="2"/>
  <c r="F26" i="2"/>
  <c r="J26" i="2"/>
  <c r="M26" i="2"/>
  <c r="L89" i="9" s="1"/>
  <c r="G26" i="2"/>
  <c r="A26" i="2"/>
  <c r="K26" i="2"/>
  <c r="N26" i="2"/>
  <c r="B26" i="2"/>
  <c r="I26" i="2"/>
  <c r="L26" i="2"/>
  <c r="C26" i="2"/>
  <c r="D21" i="4" s="1"/>
  <c r="O26" i="2"/>
  <c r="D26" i="2"/>
  <c r="E26" i="2"/>
  <c r="O6" i="2"/>
  <c r="F6" i="2"/>
  <c r="C6" i="2"/>
  <c r="J6" i="2"/>
  <c r="D6" i="2"/>
  <c r="M6" i="2"/>
  <c r="A6" i="2"/>
  <c r="G6" i="2"/>
  <c r="K6" i="2"/>
  <c r="N6" i="2"/>
  <c r="E6" i="2"/>
  <c r="I6" i="2"/>
  <c r="L6" i="2"/>
  <c r="B6" i="2"/>
  <c r="J89" i="9"/>
  <c r="I89" i="9"/>
  <c r="G89" i="9"/>
  <c r="F19" i="4"/>
  <c r="D19" i="4"/>
  <c r="G90" i="3"/>
  <c r="D10" i="5"/>
  <c r="F10" i="5" s="1"/>
  <c r="D4" i="5"/>
  <c r="F4" i="5" s="1"/>
  <c r="E2" i="5"/>
  <c r="D16" i="5"/>
  <c r="F16" i="5" s="1"/>
  <c r="AB90" i="3"/>
  <c r="AC90" i="3" s="1"/>
  <c r="D7" i="5"/>
  <c r="F7" i="5" s="1"/>
  <c r="D8" i="5"/>
  <c r="F8" i="5" s="1"/>
  <c r="D9" i="5"/>
  <c r="F9" i="5" s="1"/>
  <c r="D14" i="5"/>
  <c r="F14" i="5" s="1"/>
  <c r="D17" i="5"/>
  <c r="F17" i="5" s="1"/>
  <c r="D13" i="5"/>
  <c r="F13" i="5" s="1"/>
  <c r="D3" i="5"/>
  <c r="F3" i="5" s="1"/>
  <c r="D6" i="5"/>
  <c r="F6" i="5" s="1"/>
  <c r="D12" i="5"/>
  <c r="F12" i="5" s="1"/>
  <c r="D2" i="5"/>
  <c r="D15" i="5"/>
  <c r="F15" i="5" s="1"/>
  <c r="D11" i="5"/>
  <c r="F11" i="5" s="1"/>
  <c r="D5" i="5"/>
  <c r="F5" i="5" s="1"/>
  <c r="XFD89" i="3"/>
  <c r="F21" i="4" l="1"/>
  <c r="R6" i="2"/>
  <c r="Q6" i="2"/>
  <c r="R26" i="2"/>
  <c r="Q26" i="2"/>
  <c r="B27" i="2"/>
  <c r="N27" i="2"/>
  <c r="F20" i="4"/>
  <c r="M27" i="2"/>
  <c r="O12" i="4" s="1"/>
  <c r="D20" i="4"/>
  <c r="D22" i="4" s="1"/>
  <c r="C27" i="2"/>
  <c r="H89" i="9"/>
  <c r="K89" i="9"/>
  <c r="H90" i="3"/>
  <c r="I90" i="3" s="1"/>
  <c r="G89" i="3"/>
  <c r="G3" i="3"/>
  <c r="F2" i="5"/>
  <c r="G19" i="5" s="1"/>
  <c r="J4" i="4" s="1"/>
  <c r="E12" i="4"/>
  <c r="E11" i="4" s="1"/>
  <c r="AB89" i="3"/>
  <c r="K12" i="4"/>
  <c r="K11" i="4" s="1"/>
  <c r="C12" i="4"/>
  <c r="C11" i="4" s="1"/>
  <c r="I12" i="4"/>
  <c r="I11" i="4" s="1"/>
  <c r="AD90" i="3"/>
  <c r="AC89" i="3"/>
  <c r="F22" i="4" l="1"/>
  <c r="I3" i="4"/>
  <c r="F4" i="4" s="1"/>
  <c r="O11" i="4"/>
  <c r="M13" i="4" s="1"/>
  <c r="D27" i="2"/>
  <c r="H3" i="3"/>
  <c r="H89" i="3"/>
  <c r="K27" i="2"/>
  <c r="I89" i="3"/>
  <c r="I3" i="3"/>
  <c r="J90" i="3"/>
  <c r="AE90" i="3"/>
  <c r="AD89" i="3"/>
  <c r="AE89" i="3" l="1"/>
  <c r="AF90" i="3"/>
  <c r="J3" i="3"/>
  <c r="K90" i="3"/>
  <c r="J89" i="3"/>
  <c r="AF89" i="3" l="1"/>
  <c r="AG90" i="3"/>
  <c r="L90" i="3"/>
  <c r="K89" i="3"/>
  <c r="M90" i="3" l="1"/>
  <c r="L89" i="3"/>
  <c r="AG89" i="3"/>
  <c r="AH90" i="3"/>
  <c r="AH89" i="3" l="1"/>
  <c r="AI90" i="3"/>
  <c r="N90" i="3"/>
  <c r="M89" i="3"/>
  <c r="O90" i="3" l="1"/>
  <c r="N89" i="3"/>
  <c r="AI89" i="3"/>
  <c r="AJ90" i="3"/>
  <c r="AJ89" i="3" l="1"/>
  <c r="O89" i="3"/>
  <c r="P90" i="3"/>
  <c r="AK90" i="3"/>
  <c r="AL90" i="3" l="1"/>
  <c r="AK89" i="3"/>
  <c r="P89" i="3"/>
  <c r="Q90" i="3"/>
  <c r="R90" i="3" l="1"/>
  <c r="Q89" i="3"/>
  <c r="AL89" i="3"/>
  <c r="AM90" i="3"/>
  <c r="AN90" i="3" l="1"/>
  <c r="AM89" i="3"/>
  <c r="S90" i="3"/>
  <c r="R89" i="3"/>
  <c r="AO90" i="3" l="1"/>
  <c r="AN89" i="3"/>
  <c r="T90" i="3"/>
  <c r="S89" i="3"/>
  <c r="U90" i="3" l="1"/>
  <c r="T89" i="3"/>
  <c r="AP90" i="3"/>
  <c r="AO89" i="3"/>
  <c r="AP89" i="3" l="1"/>
  <c r="AQ90" i="3"/>
  <c r="U89" i="3"/>
  <c r="V90" i="3"/>
  <c r="W90" i="3" l="1"/>
  <c r="V89" i="3"/>
  <c r="AR90" i="3"/>
  <c r="AQ89" i="3"/>
  <c r="X90" i="3" l="1"/>
  <c r="W89" i="3"/>
  <c r="AS90" i="3"/>
  <c r="AR89" i="3"/>
  <c r="Y90" i="3" l="1"/>
  <c r="X89" i="3"/>
  <c r="AT90" i="3"/>
  <c r="AS89" i="3"/>
  <c r="AU90" i="3" l="1"/>
  <c r="AT89" i="3"/>
  <c r="Z90" i="3"/>
  <c r="Y89" i="3"/>
  <c r="Z89" i="3" l="1"/>
  <c r="AA90" i="3"/>
  <c r="AA89" i="3" s="1"/>
  <c r="AV90" i="3"/>
  <c r="AV89" i="3" s="1"/>
  <c r="AU89" i="3"/>
  <c r="C89" i="3" l="1"/>
  <c r="B89" i="3"/>
  <c r="D89"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54FB51-FABF-4D8A-9AC2-1712D288C651}" keepAlive="1" interval="60" name="Query - Cookies" description="Connection to the 'Cookies' query in the workbook." type="5" refreshedVersion="0" background="1" refreshOnLoad="1" saveData="1">
    <dbPr connection="Provider=Microsoft.Mashup.OleDb.1;Data Source=$Workbook$;Location=cookies;Extended Properties=&quot;&quot;" command="SELECT * FROM [Cookies]"/>
    <extLst>
      <ext xmlns:x15="http://schemas.microsoft.com/office/spreadsheetml/2010/11/main" uri="{DE250136-89BD-433C-8126-D09CA5730AF9}">
        <x15:connection id="" excludeFromRefreshAll="1"/>
      </ext>
    </extLst>
  </connection>
  <connection id="2" xr16:uid="{AB129AEA-F1A6-46B3-9FCA-EBDBFBD7A5E7}" keepAlive="1" name="Query - Option Chain Data" description="Connection to the 'Option Chain Data' query in the workbook." type="5" refreshedVersion="8" background="1" saveData="1">
    <dbPr connection="Provider=Microsoft.Mashup.OleDb.1;Data Source=$Workbook$;Location=&quot;Option Chain Data&quot;;Extended Properties=&quot;&quot;" command="SELECT * FROM [Option Chain Data]"/>
  </connection>
  <connection id="3" xr16:uid="{8AB23020-AF77-4698-A89B-1FCFE37EC45A}" keepAlive="1" name="Query - Time" description="Connection to the 'Time' query in the workbook." type="5" refreshedVersion="8" background="1" saveData="1">
    <dbPr connection="Provider=Microsoft.Mashup.OleDb.1;Data Source=$Workbook$;Location=Time;Extended Properties=&quot;&quot;" command="SELECT * FROM [Time]"/>
  </connection>
</connections>
</file>

<file path=xl/sharedStrings.xml><?xml version="1.0" encoding="utf-8"?>
<sst xmlns="http://schemas.openxmlformats.org/spreadsheetml/2006/main" count="271" uniqueCount="125">
  <si>
    <t>Column1.expiryDate</t>
  </si>
  <si>
    <t>Column1.PE.underlyingValue</t>
  </si>
  <si>
    <t>Call.openInterest</t>
  </si>
  <si>
    <t>Call.changeinOpenInterest</t>
  </si>
  <si>
    <t>CAll.totalTradedVolume</t>
  </si>
  <si>
    <t>CAll.impliedVolatility</t>
  </si>
  <si>
    <t>CAll.lastPrice</t>
  </si>
  <si>
    <t>CAll.change</t>
  </si>
  <si>
    <t>StrikePrice</t>
  </si>
  <si>
    <t>PUT.change</t>
  </si>
  <si>
    <t>PUT.lastPrice</t>
  </si>
  <si>
    <t>PUT.impliedVolatility</t>
  </si>
  <si>
    <t>PUT.totalTradedVolume</t>
  </si>
  <si>
    <t>PUT.changeinOpenInterest</t>
  </si>
  <si>
    <t>PUT.openInterest</t>
  </si>
  <si>
    <t>PUT</t>
  </si>
  <si>
    <t>CALL</t>
  </si>
  <si>
    <t>Expiry Date</t>
  </si>
  <si>
    <t>OI Change</t>
  </si>
  <si>
    <t>Trend</t>
  </si>
  <si>
    <t>InterPretation</t>
  </si>
  <si>
    <t>Nifty</t>
  </si>
  <si>
    <t>Price Change</t>
  </si>
  <si>
    <t>Price Change2</t>
  </si>
  <si>
    <t>OI Change2</t>
  </si>
  <si>
    <t>InterPretation2</t>
  </si>
  <si>
    <t>Trend2</t>
  </si>
  <si>
    <t>Total</t>
  </si>
  <si>
    <t>Total PUT Change OI</t>
  </si>
  <si>
    <t>Total change Call OI</t>
  </si>
  <si>
    <t>Differencne</t>
  </si>
  <si>
    <t>s10</t>
  </si>
  <si>
    <t>Rounded</t>
  </si>
  <si>
    <t xml:space="preserve"> </t>
  </si>
  <si>
    <t>Interpretation</t>
  </si>
  <si>
    <t>OI</t>
  </si>
  <si>
    <t>Price change</t>
  </si>
  <si>
    <t>LTP</t>
  </si>
  <si>
    <t>IV</t>
  </si>
  <si>
    <t>Strike Price</t>
  </si>
  <si>
    <t>INTRADAY</t>
  </si>
  <si>
    <t>WEEKLY</t>
  </si>
  <si>
    <t>NIFTY</t>
  </si>
  <si>
    <t>Price</t>
  </si>
  <si>
    <t>PRICE</t>
  </si>
  <si>
    <t>Time</t>
  </si>
  <si>
    <t>CEOI</t>
  </si>
  <si>
    <t>SYMBOL</t>
  </si>
  <si>
    <t>PCR</t>
  </si>
  <si>
    <t>Last Update Time</t>
  </si>
  <si>
    <t>Name</t>
  </si>
  <si>
    <t>Value</t>
  </si>
  <si>
    <t>timestamp</t>
  </si>
  <si>
    <t>PE OI</t>
  </si>
  <si>
    <t>Max Pain</t>
  </si>
  <si>
    <t>Call OI</t>
  </si>
  <si>
    <t>PUT OI</t>
  </si>
  <si>
    <t>Difference</t>
  </si>
  <si>
    <t>Signal</t>
  </si>
  <si>
    <t>Strike</t>
  </si>
  <si>
    <t>Put OI</t>
  </si>
  <si>
    <t>Call value</t>
  </si>
  <si>
    <t>Put value</t>
  </si>
  <si>
    <t>Expiry</t>
  </si>
  <si>
    <t>Change OI CE</t>
  </si>
  <si>
    <t>Change OI PE</t>
  </si>
  <si>
    <t>Volume CE</t>
  </si>
  <si>
    <t>Volume PE</t>
  </si>
  <si>
    <t>Total Change in OI</t>
  </si>
  <si>
    <t>Max OI</t>
  </si>
  <si>
    <t>Call</t>
  </si>
  <si>
    <t>Put</t>
  </si>
  <si>
    <t>Max Change OI</t>
  </si>
  <si>
    <t>Cookies</t>
  </si>
  <si>
    <t>NIFTY Daily Option Chain Analysis</t>
  </si>
  <si>
    <t>Auto Refresh</t>
  </si>
  <si>
    <t>Diff</t>
  </si>
  <si>
    <t>Dashboard</t>
  </si>
  <si>
    <t>Click where to go.</t>
  </si>
  <si>
    <t>Click where to go</t>
  </si>
  <si>
    <t>Steps to Use:</t>
  </si>
  <si>
    <t>Dashboard  :</t>
  </si>
  <si>
    <r>
      <t xml:space="preserve">This Tab is a main tab and very important sheet to look at while trading. This tab includes cummulative data values such as PCR, MAX Pain , Max OI Strike price etc.. from all sheetes for this setup along with </t>
    </r>
    <r>
      <rPr>
        <b/>
        <sz val="15"/>
        <color rgb="FF55F583"/>
        <rFont val="Calibri"/>
        <family val="2"/>
        <scheme val="minor"/>
      </rPr>
      <t>Buy</t>
    </r>
    <r>
      <rPr>
        <b/>
        <sz val="15"/>
        <color rgb="FFFFFF00"/>
        <rFont val="Calibri"/>
        <family val="2"/>
        <scheme val="minor"/>
      </rPr>
      <t xml:space="preserve"> </t>
    </r>
    <r>
      <rPr>
        <b/>
        <sz val="15"/>
        <color rgb="FFFF0000"/>
        <rFont val="Calibri"/>
        <family val="2"/>
        <scheme val="minor"/>
      </rPr>
      <t>Sell</t>
    </r>
    <r>
      <rPr>
        <b/>
        <sz val="15"/>
        <color rgb="FFFFFF00"/>
        <rFont val="Calibri"/>
        <family val="2"/>
        <scheme val="minor"/>
      </rPr>
      <t xml:space="preserve"> signal.</t>
    </r>
  </si>
  <si>
    <t>This tab is for Option chain analysis and OI is in lots but totals are in contract size simply multiplied by 75. One can match with NSE site all data pulls form NSE.</t>
  </si>
  <si>
    <t>This tab givse you MAX pain strike price vlaue, which simply means Nifty can possibily close at this strike pirce on that praticluar Expiry week or so.</t>
  </si>
  <si>
    <t>Option Chain :</t>
  </si>
  <si>
    <t>Max Pain :</t>
  </si>
  <si>
    <t>Intraday Chart :</t>
  </si>
  <si>
    <t>This tab will show the chart of change OI graph corsponding to Strike Price and total Change  OI graph separtely.</t>
  </si>
  <si>
    <r>
      <rPr>
        <b/>
        <sz val="20"/>
        <color theme="0"/>
        <rFont val="Calibri"/>
        <family val="2"/>
        <scheme val="minor"/>
      </rPr>
      <t>Note:</t>
    </r>
    <r>
      <rPr>
        <b/>
        <sz val="12"/>
        <color rgb="FFFF3300"/>
        <rFont val="Calibri"/>
        <family val="2"/>
        <scheme val="minor"/>
      </rPr>
      <t xml:space="preserve">  </t>
    </r>
    <r>
      <rPr>
        <b/>
        <sz val="14"/>
        <color rgb="FFFF3300"/>
        <rFont val="Calibri"/>
        <family val="2"/>
        <scheme val="minor"/>
      </rPr>
      <t>Some time while using this sheet you may get error like bad gateway or filter fields are not availabe that is because of possibly NSE website down or server has got some intermittent issue conneting data feeds or you might have internet connectivity issue.</t>
    </r>
    <r>
      <rPr>
        <b/>
        <sz val="12"/>
        <color rgb="FFFF3300"/>
        <rFont val="Calibri"/>
        <family val="2"/>
        <scheme val="minor"/>
      </rPr>
      <t xml:space="preserve"> </t>
    </r>
  </si>
  <si>
    <r>
      <rPr>
        <b/>
        <sz val="22"/>
        <color rgb="FF55F583"/>
        <rFont val="Calibri"/>
        <family val="2"/>
        <scheme val="minor"/>
      </rPr>
      <t>Solution:</t>
    </r>
    <r>
      <rPr>
        <b/>
        <sz val="20"/>
        <color theme="0"/>
        <rFont val="Calibri"/>
        <family val="2"/>
        <scheme val="minor"/>
      </rPr>
      <t xml:space="preserve">  </t>
    </r>
    <r>
      <rPr>
        <b/>
        <sz val="18"/>
        <color theme="0"/>
        <rFont val="Calibri"/>
        <family val="2"/>
        <scheme val="minor"/>
      </rPr>
      <t xml:space="preserve">First check your internet connection if you find isuue connecting interent fix this and check back later, if issue still persist wait for some time idealy wait for 3-5 minutes and try to refresh the sheet mannuly this should resolve the issue else close and re-open the file if ther was no issue at NSE file should start updating. In case you tried all the mentioned steps and still facing issue with file feel free to write us at </t>
    </r>
    <r>
      <rPr>
        <b/>
        <sz val="18"/>
        <color rgb="FF00B0F0"/>
        <rFont val="Calibri"/>
        <family val="2"/>
        <scheme val="minor"/>
      </rPr>
      <t>info@stockgeni.com</t>
    </r>
    <r>
      <rPr>
        <b/>
        <sz val="18"/>
        <color theme="0"/>
        <rFont val="Calibri"/>
        <family val="2"/>
        <scheme val="minor"/>
      </rPr>
      <t>. We will be happy to assist you resolving the issue on priority.</t>
    </r>
  </si>
  <si>
    <t>Thank you for chosing our services. We hope you will like using this file. Please share your experince. Click below to share you experince or feedback, Thanks.</t>
  </si>
  <si>
    <t>www.stockgeni.com/tools</t>
  </si>
  <si>
    <t>For Mor more product like this visit</t>
  </si>
  <si>
    <t>Welcome to the "Intraday Trading Set Up based on OI change".</t>
  </si>
  <si>
    <t>CALL OI</t>
  </si>
  <si>
    <t>Enter Strike Price</t>
  </si>
  <si>
    <t>PUT Chng OI</t>
  </si>
  <si>
    <t>CALL Chng OI</t>
  </si>
  <si>
    <t>Enter time</t>
  </si>
  <si>
    <t>Desired Action</t>
  </si>
  <si>
    <t>CALL Change OI</t>
  </si>
  <si>
    <t>PUT Change OI</t>
  </si>
  <si>
    <t>TTL PUT OI Chng</t>
  </si>
  <si>
    <t>TTL CALL OI Chng</t>
  </si>
  <si>
    <t xml:space="preserve">OI is in lots and total </t>
  </si>
  <si>
    <r>
      <rPr>
        <b/>
        <sz val="15"/>
        <color theme="1"/>
        <rFont val="Calibri"/>
        <family val="2"/>
        <scheme val="minor"/>
      </rPr>
      <t>Disclaimer</t>
    </r>
    <r>
      <rPr>
        <sz val="11"/>
        <color theme="1"/>
        <rFont val="Calibri"/>
        <family val="2"/>
        <scheme val="minor"/>
      </rPr>
      <t xml:space="preserve">- </t>
    </r>
    <r>
      <rPr>
        <sz val="11"/>
        <color rgb="FFFF0000"/>
        <rFont val="Calibri"/>
        <family val="2"/>
        <scheme val="minor"/>
      </rPr>
      <t>All Automated files are only for educational purpose. Trading and investment are subject to market risk. Stockgeni is not responsible nor liable any losses that may incurred  as a result of using any of our trading strategies. Kindly seek advice from your financial advisor before investing or trading. We advise trading with only risk capital in case of lose it should not adversely impact your ability to meet your financial obligation. We respect and value your hard earned money. Hence you are strongly advised to always trade safely and follow all the guideline and trading rules with sincerity.</t>
    </r>
  </si>
  <si>
    <t>-</t>
  </si>
  <si>
    <t>nseappid=eyJhbGciOiJIUzI1NiIsInR5cCI6IkpXVCJ9.eyJpc3MiOiJhcGkubnNlIiwiYXVkIjoiYXBpLm5zZSIsImlhdCI6MTYwMTIzMTcyOSwiZXhwIjoxNjAxMjM1MzI5fQ.IJshXlgpVGhCUREAR1qyFHQ-SfJXSxATQ_rUKMyNjcA; Path=</t>
  </si>
  <si>
    <t>New</t>
  </si>
  <si>
    <r>
      <t xml:space="preserve">If you get frequent error go to Data&gt;&gt;GetData&gt;&gt;DataSourcesetting&gt;&gt;Select optionchain link&gt;&gt;Edit permission&gt;&gt;if it is showing </t>
    </r>
    <r>
      <rPr>
        <b/>
        <sz val="11"/>
        <color rgb="FFFF3300"/>
        <rFont val="Calibri"/>
        <family val="2"/>
        <scheme val="minor"/>
      </rPr>
      <t>Credential- Type not specified</t>
    </r>
    <r>
      <rPr>
        <b/>
        <sz val="11"/>
        <color theme="1"/>
        <rFont val="Calibri"/>
        <family val="2"/>
        <scheme val="minor"/>
      </rPr>
      <t>&gt;&gt;Cick Edit &gt;&gt;Change to Anonymous&gt;&gt;Save&gt;&gt;Close and Refresh.</t>
    </r>
  </si>
  <si>
    <t>B6137ECA8A2E45110CE5EBFAF3B90C3C~nUdxy0gUVhQF0ztf+OZ4K0gMlqjFP8WiDPsC4wV6GyML+1a5xdsIsXC66Hgro+/ri/hWfrAjrRt10wFFJhb7PRtr3mzGUc5+ie3Mgm7v06CG8hd5ILqjU//noBUgsBMprH92f0Vsd5ovxE+sOJp/3boz28fHdNjQTrDqNUsNr/8=; Domain=.nseindia.com; Path=</t>
  </si>
  <si>
    <t>nsit=xskh0pEZW-SYu2wcKIGWx7Nn;nseappid=eyJhbGciOiJIUzI1NiIsInR5cCI6IkpXVCJ9.eyJpc3MiOiJhcGkubnNlIiwiYXVkIjoiYXBpLm5zZSIsImlhdCI6MTYwMjEwNDI1MSwiZXhwIjoxNjAyMTA3ODUxfQ.7i1m7ztPyTCuMz6XNQl6rtzlGFZ368Skg8iiDGt44f4</t>
  </si>
  <si>
    <t>%Chng</t>
  </si>
  <si>
    <t>FII</t>
  </si>
  <si>
    <t>SGX</t>
  </si>
  <si>
    <t>N</t>
  </si>
  <si>
    <t>is multiplied by 50.</t>
  </si>
  <si>
    <t>Sentiment</t>
  </si>
  <si>
    <t>Preop</t>
  </si>
  <si>
    <t>Total OI</t>
  </si>
  <si>
    <t>Spot</t>
  </si>
  <si>
    <t>P</t>
  </si>
  <si>
    <t>10-Nov-2022</t>
  </si>
  <si>
    <t>09-Nov-2022 09:59:20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</si>
</sst>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_ ;\-#,##0\ "/>
  </numFmts>
  <fonts count="75" x14ac:knownFonts="1">
    <font>
      <sz val="11"/>
      <color theme="1"/>
      <name val="Calibri"/>
      <family val="2"/>
      <scheme val="minor"/>
    </font>
    <font>
      <sz val="11"/>
      <color rgb="FF9C5700"/>
      <name val="Calibri"/>
      <family val="2"/>
      <scheme val="minor"/>
    </font>
    <font>
      <b/>
      <sz val="11"/>
      <color theme="1"/>
      <name val="Calibri"/>
      <family val="2"/>
      <scheme val="minor"/>
    </font>
    <font>
      <sz val="8"/>
      <name val="Calibri"/>
      <family val="2"/>
      <scheme val="minor"/>
    </font>
    <font>
      <b/>
      <sz val="12"/>
      <name val="Calibri"/>
      <family val="2"/>
      <scheme val="minor"/>
    </font>
    <font>
      <sz val="12"/>
      <name val="Calibri"/>
      <family val="2"/>
      <scheme val="minor"/>
    </font>
    <font>
      <b/>
      <sz val="15"/>
      <color rgb="FF9C5700"/>
      <name val="Calibri"/>
      <family val="2"/>
      <scheme val="minor"/>
    </font>
    <font>
      <sz val="11"/>
      <color rgb="FF006100"/>
      <name val="Calibri"/>
      <family val="2"/>
      <scheme val="minor"/>
    </font>
    <font>
      <sz val="11"/>
      <color rgb="FF9C0006"/>
      <name val="Calibri"/>
      <family val="2"/>
      <scheme val="minor"/>
    </font>
    <font>
      <b/>
      <sz val="15"/>
      <name val="Calibri"/>
      <family val="2"/>
      <scheme val="minor"/>
    </font>
    <font>
      <b/>
      <sz val="11"/>
      <name val="Calibri"/>
      <family val="2"/>
      <scheme val="minor"/>
    </font>
    <font>
      <sz val="11"/>
      <name val="Calibri"/>
      <family val="2"/>
      <scheme val="minor"/>
    </font>
    <font>
      <b/>
      <sz val="18"/>
      <name val="Calibri"/>
      <family val="2"/>
      <scheme val="minor"/>
    </font>
    <font>
      <b/>
      <sz val="20"/>
      <color rgb="FF006100"/>
      <name val="Calibri"/>
      <family val="2"/>
      <scheme val="minor"/>
    </font>
    <font>
      <b/>
      <sz val="20"/>
      <color rgb="FF9C0006"/>
      <name val="Calibri"/>
      <family val="2"/>
      <scheme val="minor"/>
    </font>
    <font>
      <b/>
      <sz val="15"/>
      <color theme="1"/>
      <name val="Calibri"/>
      <family val="2"/>
      <scheme val="minor"/>
    </font>
    <font>
      <sz val="15"/>
      <name val="Calibri"/>
      <family val="2"/>
      <scheme val="minor"/>
    </font>
    <font>
      <sz val="15"/>
      <color theme="1"/>
      <name val="Calibri"/>
      <family val="2"/>
      <scheme val="minor"/>
    </font>
    <font>
      <b/>
      <sz val="15"/>
      <color rgb="FF006100"/>
      <name val="Calibri"/>
      <family val="2"/>
      <scheme val="minor"/>
    </font>
    <font>
      <b/>
      <sz val="15"/>
      <color rgb="FF9C0006"/>
      <name val="Calibri"/>
      <family val="2"/>
      <scheme val="minor"/>
    </font>
    <font>
      <b/>
      <sz val="12"/>
      <color theme="1"/>
      <name val="Calibri"/>
      <family val="2"/>
      <scheme val="minor"/>
    </font>
    <font>
      <b/>
      <sz val="22"/>
      <color theme="1"/>
      <name val="Calibri"/>
      <family val="2"/>
      <scheme val="minor"/>
    </font>
    <font>
      <b/>
      <sz val="11"/>
      <color rgb="FFFF0000"/>
      <name val="Calibri"/>
      <family val="2"/>
      <scheme val="minor"/>
    </font>
    <font>
      <b/>
      <sz val="20"/>
      <color rgb="FFFF0000"/>
      <name val="Arial Black"/>
      <family val="2"/>
    </font>
    <font>
      <b/>
      <sz val="15"/>
      <color rgb="FFFF0000"/>
      <name val="Calibri"/>
      <family val="2"/>
      <scheme val="minor"/>
    </font>
    <font>
      <b/>
      <sz val="12"/>
      <color rgb="FFFF0000"/>
      <name val="Arial Black"/>
      <family val="2"/>
    </font>
    <font>
      <b/>
      <sz val="16"/>
      <color rgb="FFFF0000"/>
      <name val="Arial Black"/>
      <family val="2"/>
    </font>
    <font>
      <b/>
      <sz val="16"/>
      <color theme="1"/>
      <name val="Calibri"/>
      <family val="2"/>
      <scheme val="minor"/>
    </font>
    <font>
      <b/>
      <sz val="16"/>
      <color rgb="FF00FF00"/>
      <name val="Calibri"/>
      <family val="2"/>
    </font>
    <font>
      <b/>
      <sz val="16"/>
      <color rgb="FFFF0000"/>
      <name val="Calibri"/>
      <family val="2"/>
    </font>
    <font>
      <b/>
      <sz val="14"/>
      <color rgb="FFFF0000"/>
      <name val="Calibri"/>
      <family val="2"/>
    </font>
    <font>
      <b/>
      <sz val="12"/>
      <color rgb="FFFF0000"/>
      <name val="Calibri"/>
      <family val="2"/>
      <scheme val="minor"/>
    </font>
    <font>
      <sz val="11"/>
      <color theme="0"/>
      <name val="Calibri"/>
      <family val="2"/>
      <scheme val="minor"/>
    </font>
    <font>
      <b/>
      <sz val="13"/>
      <color rgb="FFFF0000"/>
      <name val="Calibri"/>
      <family val="2"/>
      <scheme val="minor"/>
    </font>
    <font>
      <b/>
      <sz val="13"/>
      <color theme="1"/>
      <name val="Calibri"/>
      <family val="2"/>
      <scheme val="minor"/>
    </font>
    <font>
      <sz val="11"/>
      <color theme="1"/>
      <name val="Calibri"/>
      <family val="2"/>
      <scheme val="minor"/>
    </font>
    <font>
      <b/>
      <sz val="18"/>
      <color rgb="FFFF0000"/>
      <name val="Arial Black"/>
      <family val="2"/>
    </font>
    <font>
      <b/>
      <sz val="15"/>
      <color rgb="FFFF0000"/>
      <name val="Arial Black"/>
      <family val="2"/>
    </font>
    <font>
      <b/>
      <sz val="12"/>
      <color theme="0"/>
      <name val="Calibri"/>
      <family val="2"/>
      <scheme val="minor"/>
    </font>
    <font>
      <b/>
      <sz val="12"/>
      <color theme="4" tint="-0.249977111117893"/>
      <name val="Calibri"/>
      <family val="2"/>
      <scheme val="minor"/>
    </font>
    <font>
      <b/>
      <sz val="15"/>
      <color theme="0"/>
      <name val="Arial"/>
      <family val="2"/>
    </font>
    <font>
      <b/>
      <sz val="12"/>
      <color rgb="FFFF0000"/>
      <name val="Calibri"/>
      <family val="2"/>
    </font>
    <font>
      <u/>
      <sz val="11"/>
      <color theme="10"/>
      <name val="Calibri"/>
      <family val="2"/>
      <scheme val="minor"/>
    </font>
    <font>
      <b/>
      <sz val="18"/>
      <color theme="0"/>
      <name val="Calibri"/>
      <family val="2"/>
      <scheme val="minor"/>
    </font>
    <font>
      <b/>
      <sz val="20"/>
      <color theme="0"/>
      <name val="Calibri"/>
      <family val="2"/>
      <scheme val="minor"/>
    </font>
    <font>
      <b/>
      <sz val="30"/>
      <color theme="0"/>
      <name val="Calibri"/>
      <family val="2"/>
      <scheme val="minor"/>
    </font>
    <font>
      <b/>
      <sz val="15"/>
      <color rgb="FFFFFF00"/>
      <name val="Calibri"/>
      <family val="2"/>
      <scheme val="minor"/>
    </font>
    <font>
      <b/>
      <sz val="22"/>
      <color theme="0"/>
      <name val="Calibri"/>
      <family val="2"/>
      <scheme val="minor"/>
    </font>
    <font>
      <b/>
      <sz val="22"/>
      <color rgb="FF55F583"/>
      <name val="Calibri"/>
      <family val="2"/>
      <scheme val="minor"/>
    </font>
    <font>
      <b/>
      <sz val="15"/>
      <color rgb="FF55F583"/>
      <name val="Calibri"/>
      <family val="2"/>
      <scheme val="minor"/>
    </font>
    <font>
      <sz val="15"/>
      <color rgb="FFFFFF00"/>
      <name val="Calibri"/>
      <family val="2"/>
      <scheme val="minor"/>
    </font>
    <font>
      <b/>
      <sz val="12"/>
      <color rgb="FFFF3300"/>
      <name val="Calibri"/>
      <family val="2"/>
      <scheme val="minor"/>
    </font>
    <font>
      <b/>
      <sz val="14"/>
      <color rgb="FFFF3300"/>
      <name val="Calibri"/>
      <family val="2"/>
      <scheme val="minor"/>
    </font>
    <font>
      <b/>
      <sz val="18"/>
      <color rgb="FF00B0F0"/>
      <name val="Calibri"/>
      <family val="2"/>
      <scheme val="minor"/>
    </font>
    <font>
      <b/>
      <sz val="12"/>
      <color rgb="FF00B0F0"/>
      <name val="Calibri"/>
      <family val="2"/>
      <scheme val="minor"/>
    </font>
    <font>
      <b/>
      <sz val="30"/>
      <color rgb="FFFF0000"/>
      <name val="Calibri"/>
      <family val="2"/>
      <scheme val="minor"/>
    </font>
    <font>
      <b/>
      <sz val="14"/>
      <color rgb="FFFF0000"/>
      <name val="Calibri"/>
      <family val="2"/>
      <scheme val="minor"/>
    </font>
    <font>
      <b/>
      <sz val="11"/>
      <color theme="0"/>
      <name val="Calibri"/>
      <family val="2"/>
      <scheme val="minor"/>
    </font>
    <font>
      <b/>
      <sz val="16"/>
      <color theme="0"/>
      <name val="Calibri"/>
      <family val="2"/>
      <scheme val="minor"/>
    </font>
    <font>
      <b/>
      <sz val="34"/>
      <name val="Calibri"/>
      <family val="2"/>
      <scheme val="minor"/>
    </font>
    <font>
      <sz val="7"/>
      <name val="Consolas"/>
      <family val="3"/>
    </font>
    <font>
      <b/>
      <sz val="11"/>
      <color rgb="FF00B050"/>
      <name val="Calibri"/>
      <family val="2"/>
      <scheme val="minor"/>
    </font>
    <font>
      <b/>
      <sz val="15"/>
      <color rgb="FF00B050"/>
      <name val="Calibri"/>
      <family val="2"/>
      <scheme val="minor"/>
    </font>
    <font>
      <b/>
      <sz val="14"/>
      <color theme="0"/>
      <name val="Calibri"/>
      <family val="2"/>
      <scheme val="minor"/>
    </font>
    <font>
      <sz val="11"/>
      <color rgb="FFFF0000"/>
      <name val="Calibri"/>
      <family val="2"/>
      <scheme val="minor"/>
    </font>
    <font>
      <b/>
      <sz val="10"/>
      <color rgb="FFFF0000"/>
      <name val="Calibri"/>
      <family val="2"/>
      <scheme val="minor"/>
    </font>
    <font>
      <b/>
      <sz val="12"/>
      <color rgb="FF0DE14A"/>
      <name val="Calibri"/>
      <family val="2"/>
      <scheme val="minor"/>
    </font>
    <font>
      <b/>
      <sz val="16"/>
      <color rgb="FFFF0000"/>
      <name val="Calibri"/>
      <family val="2"/>
      <scheme val="minor"/>
    </font>
    <font>
      <b/>
      <sz val="14"/>
      <color rgb="FF008000"/>
      <name val="Calibri"/>
      <family val="2"/>
    </font>
    <font>
      <b/>
      <sz val="14"/>
      <color rgb="FFFF6600"/>
      <name val="Calibri"/>
      <family val="2"/>
    </font>
    <font>
      <b/>
      <sz val="13"/>
      <color theme="0"/>
      <name val="Calibri"/>
      <family val="2"/>
      <scheme val="minor"/>
    </font>
    <font>
      <b/>
      <sz val="13"/>
      <color rgb="FF0DE14A"/>
      <name val="Calibri"/>
      <family val="2"/>
      <scheme val="minor"/>
    </font>
    <font>
      <b/>
      <sz val="11"/>
      <color rgb="FFFF3300"/>
      <name val="Calibri"/>
      <family val="2"/>
      <scheme val="minor"/>
    </font>
    <font>
      <b/>
      <sz val="14"/>
      <color theme="1"/>
      <name val="Calibri"/>
      <family val="2"/>
      <scheme val="minor"/>
    </font>
    <font>
      <b/>
      <sz val="16"/>
      <name val="Calibri"/>
      <family val="2"/>
      <scheme val="minor"/>
    </font>
  </fonts>
  <fills count="51">
    <fill>
      <patternFill patternType="none"/>
    </fill>
    <fill>
      <patternFill patternType="gray125"/>
    </fill>
    <fill>
      <patternFill patternType="solid">
        <fgColor rgb="FFFFEB9C"/>
      </patternFill>
    </fill>
    <fill>
      <patternFill patternType="solid">
        <fgColor rgb="FFC6EFCE"/>
      </patternFill>
    </fill>
    <fill>
      <patternFill patternType="solid">
        <fgColor rgb="FFFFC7CE"/>
      </patternFill>
    </fill>
    <fill>
      <patternFill patternType="solid">
        <fgColor rgb="FFFFFF00"/>
        <bgColor indexed="64"/>
      </patternFill>
    </fill>
    <fill>
      <patternFill patternType="solid">
        <fgColor theme="7" tint="0.79998168889431442"/>
        <bgColor indexed="64"/>
      </patternFill>
    </fill>
    <fill>
      <gradientFill degree="90">
        <stop position="0">
          <color theme="0"/>
        </stop>
        <stop position="0.5">
          <color rgb="FF00B0F0"/>
        </stop>
        <stop position="1">
          <color theme="0"/>
        </stop>
      </gradientFill>
    </fill>
    <fill>
      <patternFill patternType="solid">
        <fgColor theme="7" tint="0.39997558519241921"/>
        <bgColor indexed="64"/>
      </patternFill>
    </fill>
    <fill>
      <patternFill patternType="solid">
        <fgColor theme="4" tint="0.79998168889431442"/>
        <bgColor indexed="64"/>
      </patternFill>
    </fill>
    <fill>
      <gradientFill degree="90">
        <stop position="0">
          <color theme="0"/>
        </stop>
        <stop position="0.5">
          <color theme="8" tint="0.59999389629810485"/>
        </stop>
        <stop position="1">
          <color theme="0"/>
        </stop>
      </gradientFill>
    </fill>
    <fill>
      <gradientFill degree="90">
        <stop position="0">
          <color theme="0"/>
        </stop>
        <stop position="0.5">
          <color rgb="FFFF0000"/>
        </stop>
        <stop position="1">
          <color theme="0"/>
        </stop>
      </gradientFill>
    </fill>
    <fill>
      <gradientFill degree="90">
        <stop position="0">
          <color theme="0"/>
        </stop>
        <stop position="0.5">
          <color theme="7" tint="0.40000610370189521"/>
        </stop>
        <stop position="1">
          <color theme="0"/>
        </stop>
      </gradientFill>
    </fill>
    <fill>
      <patternFill patternType="solid">
        <fgColor theme="7"/>
      </patternFill>
    </fill>
    <fill>
      <patternFill patternType="solid">
        <fgColor theme="4" tint="0.39997558519241921"/>
        <bgColor indexed="64"/>
      </patternFill>
    </fill>
    <fill>
      <gradientFill degree="90">
        <stop position="0">
          <color theme="0"/>
        </stop>
        <stop position="0.5">
          <color rgb="FF0DE14A"/>
        </stop>
        <stop position="1">
          <color theme="0"/>
        </stop>
      </gradientFill>
    </fill>
    <fill>
      <gradientFill degree="90">
        <stop position="0">
          <color theme="0"/>
        </stop>
        <stop position="0.5">
          <color rgb="FF55F583"/>
        </stop>
        <stop position="1">
          <color theme="0"/>
        </stop>
      </gradientFill>
    </fill>
    <fill>
      <gradientFill degree="90">
        <stop position="0">
          <color theme="0"/>
        </stop>
        <stop position="0.5">
          <color theme="9" tint="0.59999389629810485"/>
        </stop>
        <stop position="1">
          <color theme="0"/>
        </stop>
      </gradientFill>
    </fill>
    <fill>
      <gradientFill degree="90">
        <stop position="0">
          <color theme="0"/>
        </stop>
        <stop position="0.5">
          <color rgb="FFF9300F"/>
        </stop>
        <stop position="1">
          <color theme="0"/>
        </stop>
      </gradientFill>
    </fill>
    <fill>
      <gradientFill type="path" left="0.5" right="0.5" top="0.5" bottom="0.5">
        <stop position="0">
          <color theme="0"/>
        </stop>
        <stop position="1">
          <color rgb="FF7DF7A0"/>
        </stop>
      </gradientFill>
    </fill>
    <fill>
      <gradientFill degree="90">
        <stop position="0">
          <color theme="0"/>
        </stop>
        <stop position="0.5">
          <color rgb="FFFF412D"/>
        </stop>
        <stop position="1">
          <color theme="0"/>
        </stop>
      </gradientFill>
    </fill>
    <fill>
      <gradientFill type="path" left="0.5" right="0.5" top="0.5" bottom="0.5">
        <stop position="0">
          <color theme="0"/>
        </stop>
        <stop position="1">
          <color rgb="FFF6B8F2"/>
        </stop>
      </gradientFill>
    </fill>
    <fill>
      <patternFill patternType="solid">
        <fgColor rgb="FF55F583"/>
        <bgColor indexed="64"/>
      </patternFill>
    </fill>
    <fill>
      <patternFill patternType="solid">
        <fgColor theme="7" tint="0.59999389629810485"/>
        <bgColor indexed="64"/>
      </patternFill>
    </fill>
    <fill>
      <patternFill patternType="solid">
        <fgColor theme="5" tint="0.79998168889431442"/>
        <bgColor indexed="64"/>
      </patternFill>
    </fill>
    <fill>
      <gradientFill type="path" left="0.5" right="0.5" top="0.5" bottom="0.5">
        <stop position="0">
          <color theme="0"/>
        </stop>
        <stop position="1">
          <color rgb="FF00B0F0"/>
        </stop>
      </gradientFill>
    </fill>
    <fill>
      <gradientFill type="path" left="0.5" right="0.5" top="0.5" bottom="0.5">
        <stop position="0">
          <color theme="0"/>
        </stop>
        <stop position="1">
          <color theme="5"/>
        </stop>
      </gradientFill>
    </fill>
    <fill>
      <patternFill patternType="solid">
        <fgColor theme="3" tint="0.79998168889431442"/>
        <bgColor indexed="64"/>
      </patternFill>
    </fill>
    <fill>
      <gradientFill type="path" left="0.5" right="0.5" top="0.5" bottom="0.5">
        <stop position="0">
          <color theme="0"/>
        </stop>
        <stop position="1">
          <color rgb="FFFFFF00"/>
        </stop>
      </gradientFill>
    </fill>
    <fill>
      <patternFill patternType="solid">
        <fgColor theme="8"/>
        <bgColor indexed="64"/>
      </patternFill>
    </fill>
    <fill>
      <gradientFill type="path" left="1" right="1">
        <stop position="0">
          <color rgb="FFFF0000"/>
        </stop>
        <stop position="1">
          <color rgb="FFFFFF00"/>
        </stop>
      </gradientFill>
    </fill>
    <fill>
      <patternFill patternType="solid">
        <fgColor theme="8" tint="0.59999389629810485"/>
        <bgColor indexed="64"/>
      </patternFill>
    </fill>
    <fill>
      <patternFill patternType="solid">
        <fgColor theme="8" tint="0.79998168889431442"/>
        <bgColor indexed="64"/>
      </patternFill>
    </fill>
    <fill>
      <patternFill patternType="solid">
        <fgColor theme="1"/>
        <bgColor indexed="64"/>
      </patternFill>
    </fill>
    <fill>
      <patternFill patternType="solid">
        <fgColor rgb="FF00B050"/>
        <bgColor indexed="64"/>
      </patternFill>
    </fill>
    <fill>
      <patternFill patternType="solid">
        <fgColor rgb="FFFF0000"/>
        <bgColor indexed="64"/>
      </patternFill>
    </fill>
    <fill>
      <gradientFill type="path" left="0.5" right="0.5" top="0.5" bottom="0.5">
        <stop position="0">
          <color theme="0"/>
        </stop>
        <stop position="1">
          <color rgb="FF00B050"/>
        </stop>
      </gradientFill>
    </fill>
    <fill>
      <patternFill patternType="solid">
        <fgColor theme="9" tint="0.79998168889431442"/>
        <bgColor indexed="64"/>
      </patternFill>
    </fill>
    <fill>
      <patternFill patternType="solid">
        <fgColor theme="5" tint="0.59999389629810485"/>
        <bgColor indexed="64"/>
      </patternFill>
    </fill>
    <fill>
      <gradientFill degree="135">
        <stop position="0">
          <color theme="0"/>
        </stop>
        <stop position="0.5">
          <color rgb="FFFFFF00"/>
        </stop>
        <stop position="1">
          <color theme="0"/>
        </stop>
      </gradientFill>
    </fill>
    <fill>
      <patternFill patternType="solid">
        <fgColor theme="1" tint="0.49998474074526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0070C0"/>
        <bgColor indexed="64"/>
      </patternFill>
    </fill>
    <fill>
      <patternFill patternType="solid">
        <fgColor theme="0"/>
        <bgColor indexed="64"/>
      </patternFill>
    </fill>
    <fill>
      <patternFill patternType="solid">
        <fgColor theme="0" tint="-4.9989318521683403E-2"/>
        <bgColor indexed="64"/>
      </patternFill>
    </fill>
    <fill>
      <patternFill patternType="solid">
        <fgColor rgb="FFFF3300"/>
        <bgColor indexed="64"/>
      </patternFill>
    </fill>
    <fill>
      <patternFill patternType="solid">
        <fgColor theme="1" tint="0.14999847407452621"/>
        <bgColor indexed="64"/>
      </patternFill>
    </fill>
    <fill>
      <patternFill patternType="solid">
        <fgColor theme="4" tint="0.79998168889431442"/>
        <bgColor theme="4" tint="0.79998168889431442"/>
      </patternFill>
    </fill>
    <fill>
      <patternFill patternType="solid">
        <fgColor rgb="FFFC7F32"/>
        <bgColor indexed="64"/>
      </patternFill>
    </fill>
    <fill>
      <gradientFill type="path" left="0.5" right="0.5" top="0.5" bottom="0.5">
        <stop position="0">
          <color theme="0"/>
        </stop>
        <stop position="1">
          <color theme="7" tint="0.40000610370189521"/>
        </stop>
      </gradientFill>
    </fill>
  </fills>
  <borders count="8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theme="0"/>
      </left>
      <right/>
      <top/>
      <bottom/>
      <diagonal/>
    </border>
    <border>
      <left/>
      <right style="medium">
        <color theme="0"/>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medium">
        <color theme="0"/>
      </right>
      <top style="medium">
        <color indexed="64"/>
      </top>
      <bottom style="medium">
        <color indexed="64"/>
      </bottom>
      <diagonal/>
    </border>
    <border>
      <left style="medium">
        <color theme="0"/>
      </left>
      <right style="medium">
        <color theme="0"/>
      </right>
      <top style="medium">
        <color indexed="64"/>
      </top>
      <bottom style="medium">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s>
  <cellStyleXfs count="7">
    <xf numFmtId="0" fontId="0" fillId="0" borderId="0"/>
    <xf numFmtId="0" fontId="1"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32" fillId="13" borderId="0" applyNumberFormat="0" applyBorder="0" applyAlignment="0" applyProtection="0"/>
    <xf numFmtId="9" fontId="35" fillId="0" borderId="0" applyFont="0" applyFill="0" applyBorder="0" applyAlignment="0" applyProtection="0"/>
    <xf numFmtId="0" fontId="42" fillId="0" borderId="0" applyNumberFormat="0" applyFill="0" applyBorder="0" applyAlignment="0" applyProtection="0"/>
  </cellStyleXfs>
  <cellXfs count="496">
    <xf numFmtId="0" fontId="0" fillId="0" borderId="0" xfId="0"/>
    <xf numFmtId="9" fontId="0" fillId="0" borderId="0" xfId="5" applyFont="1"/>
    <xf numFmtId="0" fontId="2" fillId="24" borderId="37" xfId="0" applyFont="1" applyFill="1" applyBorder="1" applyProtection="1">
      <protection hidden="1"/>
    </xf>
    <xf numFmtId="0" fontId="2" fillId="24" borderId="38" xfId="0" applyFont="1" applyFill="1" applyBorder="1" applyProtection="1">
      <protection hidden="1"/>
    </xf>
    <xf numFmtId="0" fontId="38" fillId="0" borderId="39" xfId="0" applyFont="1" applyFill="1" applyBorder="1" applyAlignment="1" applyProtection="1">
      <alignment vertical="center"/>
      <protection hidden="1"/>
    </xf>
    <xf numFmtId="0" fontId="38" fillId="0" borderId="0" xfId="0" applyFont="1" applyFill="1" applyBorder="1" applyAlignment="1" applyProtection="1">
      <alignment vertical="center"/>
      <protection hidden="1"/>
    </xf>
    <xf numFmtId="0" fontId="38" fillId="0" borderId="40" xfId="0" applyFont="1" applyFill="1" applyBorder="1" applyAlignment="1" applyProtection="1">
      <alignment vertical="center"/>
      <protection hidden="1"/>
    </xf>
    <xf numFmtId="0" fontId="39" fillId="27" borderId="1" xfId="0" applyFont="1" applyFill="1" applyBorder="1" applyAlignment="1" applyProtection="1">
      <alignment horizontal="center" vertical="center"/>
      <protection hidden="1"/>
    </xf>
    <xf numFmtId="0" fontId="20" fillId="25" borderId="1" xfId="0" applyFont="1" applyFill="1" applyBorder="1" applyAlignment="1" applyProtection="1">
      <alignment horizontal="center" vertical="center"/>
      <protection hidden="1"/>
    </xf>
    <xf numFmtId="0" fontId="39" fillId="27" borderId="13" xfId="0" applyFont="1" applyFill="1" applyBorder="1" applyAlignment="1" applyProtection="1">
      <alignment horizontal="center" vertical="center"/>
      <protection hidden="1"/>
    </xf>
    <xf numFmtId="0" fontId="0" fillId="0" borderId="0" xfId="0" applyProtection="1">
      <protection locked="0"/>
    </xf>
    <xf numFmtId="0" fontId="0" fillId="8" borderId="15" xfId="0" applyFill="1" applyBorder="1" applyAlignment="1" applyProtection="1">
      <protection locked="0"/>
    </xf>
    <xf numFmtId="0" fontId="0" fillId="8" borderId="0" xfId="0" applyFill="1" applyBorder="1" applyAlignment="1" applyProtection="1">
      <protection locked="0"/>
    </xf>
    <xf numFmtId="0" fontId="0" fillId="8" borderId="7" xfId="0" applyFill="1" applyBorder="1" applyAlignment="1" applyProtection="1">
      <protection locked="0"/>
    </xf>
    <xf numFmtId="0" fontId="0" fillId="0" borderId="15" xfId="0" applyBorder="1" applyProtection="1">
      <protection locked="0"/>
    </xf>
    <xf numFmtId="0" fontId="0" fillId="0" borderId="0" xfId="0" applyBorder="1" applyProtection="1">
      <protection locked="0"/>
    </xf>
    <xf numFmtId="0" fontId="0" fillId="8" borderId="14" xfId="0" applyFill="1" applyBorder="1" applyAlignment="1" applyProtection="1">
      <protection locked="0"/>
    </xf>
    <xf numFmtId="0" fontId="0" fillId="8" borderId="19" xfId="0" applyFill="1" applyBorder="1" applyAlignment="1" applyProtection="1">
      <protection locked="0"/>
    </xf>
    <xf numFmtId="0" fontId="0" fillId="8" borderId="5" xfId="0" applyFill="1" applyBorder="1" applyAlignment="1" applyProtection="1">
      <protection locked="0"/>
    </xf>
    <xf numFmtId="0" fontId="0" fillId="8" borderId="16" xfId="0" applyFill="1" applyBorder="1" applyAlignment="1" applyProtection="1">
      <protection locked="0"/>
    </xf>
    <xf numFmtId="0" fontId="0" fillId="8" borderId="29" xfId="0" applyFill="1" applyBorder="1" applyAlignment="1" applyProtection="1">
      <protection locked="0"/>
    </xf>
    <xf numFmtId="0" fontId="0" fillId="8" borderId="9" xfId="0" applyFill="1" applyBorder="1" applyAlignment="1" applyProtection="1">
      <protection locked="0"/>
    </xf>
    <xf numFmtId="0" fontId="27" fillId="7" borderId="4" xfId="0" applyFont="1" applyFill="1" applyBorder="1" applyAlignment="1" applyProtection="1">
      <alignment horizontal="center" vertical="center"/>
      <protection hidden="1"/>
    </xf>
    <xf numFmtId="0" fontId="34" fillId="7" borderId="30" xfId="0" applyFont="1" applyFill="1" applyBorder="1" applyAlignment="1" applyProtection="1">
      <alignment horizontal="center" vertical="center"/>
      <protection hidden="1"/>
    </xf>
    <xf numFmtId="2" fontId="2" fillId="10" borderId="30" xfId="0" applyNumberFormat="1" applyFont="1" applyFill="1" applyBorder="1" applyAlignment="1" applyProtection="1">
      <alignment horizontal="center" vertical="center"/>
      <protection hidden="1"/>
    </xf>
    <xf numFmtId="0" fontId="20" fillId="11" borderId="31" xfId="0" applyFont="1" applyFill="1" applyBorder="1" applyAlignment="1" applyProtection="1">
      <alignment horizontal="center" vertical="center"/>
      <protection hidden="1"/>
    </xf>
    <xf numFmtId="0" fontId="24" fillId="0" borderId="6" xfId="0" applyFon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0" fillId="0" borderId="15" xfId="0" applyBorder="1" applyProtection="1">
      <protection hidden="1"/>
    </xf>
    <xf numFmtId="0" fontId="0" fillId="0" borderId="0" xfId="0" applyBorder="1" applyProtection="1">
      <protection hidden="1"/>
    </xf>
    <xf numFmtId="0" fontId="0" fillId="0" borderId="16" xfId="0" applyBorder="1" applyProtection="1">
      <protection hidden="1"/>
    </xf>
    <xf numFmtId="0" fontId="0" fillId="0" borderId="29" xfId="0" applyBorder="1" applyProtection="1">
      <protection hidden="1"/>
    </xf>
    <xf numFmtId="0" fontId="2" fillId="5" borderId="4" xfId="0" applyFont="1" applyFill="1" applyBorder="1" applyAlignment="1" applyProtection="1">
      <alignment horizontal="center" vertical="center"/>
      <protection hidden="1"/>
    </xf>
    <xf numFmtId="0" fontId="2" fillId="22" borderId="30" xfId="0" applyFont="1" applyFill="1" applyBorder="1" applyAlignment="1" applyProtection="1">
      <alignment horizontal="center" vertical="center"/>
      <protection hidden="1"/>
    </xf>
    <xf numFmtId="0" fontId="40" fillId="29" borderId="33" xfId="0" applyFont="1" applyFill="1" applyBorder="1" applyAlignment="1" applyProtection="1">
      <alignment horizontal="center" vertical="center"/>
      <protection hidden="1"/>
    </xf>
    <xf numFmtId="0" fontId="0" fillId="0" borderId="14" xfId="0" applyBorder="1" applyProtection="1">
      <protection locked="0"/>
    </xf>
    <xf numFmtId="0" fontId="0" fillId="0" borderId="19" xfId="0" applyBorder="1" applyProtection="1">
      <protection locked="0"/>
    </xf>
    <xf numFmtId="0" fontId="0" fillId="0" borderId="10" xfId="0" applyBorder="1" applyProtection="1">
      <protection locked="0"/>
    </xf>
    <xf numFmtId="0" fontId="0" fillId="0" borderId="27" xfId="0" applyBorder="1" applyProtection="1">
      <protection locked="0"/>
    </xf>
    <xf numFmtId="0" fontId="0" fillId="0" borderId="11" xfId="0" applyBorder="1" applyProtection="1">
      <protection locked="0"/>
    </xf>
    <xf numFmtId="0" fontId="0" fillId="0" borderId="1" xfId="0" applyBorder="1" applyProtection="1">
      <protection locked="0"/>
    </xf>
    <xf numFmtId="0" fontId="0" fillId="0" borderId="28" xfId="0" applyBorder="1" applyProtection="1">
      <protection locked="0"/>
    </xf>
    <xf numFmtId="0" fontId="0" fillId="0" borderId="19" xfId="0" applyBorder="1" applyAlignment="1" applyProtection="1">
      <protection locked="0"/>
    </xf>
    <xf numFmtId="0" fontId="0" fillId="0" borderId="5" xfId="0" applyBorder="1" applyProtection="1">
      <protection locked="0"/>
    </xf>
    <xf numFmtId="0" fontId="0" fillId="0" borderId="7" xfId="0" applyBorder="1" applyProtection="1">
      <protection locked="0"/>
    </xf>
    <xf numFmtId="164" fontId="0" fillId="0" borderId="0" xfId="0" applyNumberFormat="1" applyBorder="1" applyAlignment="1" applyProtection="1">
      <alignment horizontal="center"/>
      <protection locked="0"/>
    </xf>
    <xf numFmtId="0" fontId="0" fillId="0" borderId="28" xfId="0" applyBorder="1" applyAlignment="1" applyProtection="1">
      <alignment horizontal="center"/>
      <protection locked="0"/>
    </xf>
    <xf numFmtId="0" fontId="0" fillId="5" borderId="1" xfId="0" applyFill="1" applyBorder="1" applyProtection="1">
      <protection locked="0"/>
    </xf>
    <xf numFmtId="0" fontId="0" fillId="5" borderId="0" xfId="0" applyFill="1" applyBorder="1" applyProtection="1">
      <protection locked="0"/>
    </xf>
    <xf numFmtId="20" fontId="0" fillId="0" borderId="1" xfId="0" applyNumberFormat="1" applyBorder="1" applyProtection="1">
      <protection locked="0"/>
    </xf>
    <xf numFmtId="20" fontId="0" fillId="5" borderId="1" xfId="0" applyNumberFormat="1" applyFill="1" applyBorder="1" applyProtection="1">
      <protection locked="0"/>
    </xf>
    <xf numFmtId="20" fontId="0" fillId="0" borderId="1" xfId="0" applyNumberFormat="1" applyFill="1" applyBorder="1" applyProtection="1">
      <protection locked="0"/>
    </xf>
    <xf numFmtId="0" fontId="0" fillId="0" borderId="1" xfId="0" applyFill="1" applyBorder="1" applyProtection="1">
      <protection locked="0"/>
    </xf>
    <xf numFmtId="0" fontId="7" fillId="3" borderId="0" xfId="2" applyBorder="1" applyProtection="1">
      <protection locked="0"/>
    </xf>
    <xf numFmtId="0" fontId="2" fillId="0" borderId="0" xfId="0" applyFont="1" applyProtection="1">
      <protection locked="0"/>
    </xf>
    <xf numFmtId="0" fontId="0" fillId="0" borderId="0" xfId="0" applyNumberFormat="1" applyProtection="1">
      <protection locked="0"/>
    </xf>
    <xf numFmtId="0" fontId="0" fillId="0" borderId="0" xfId="0" applyProtection="1">
      <protection hidden="1"/>
    </xf>
    <xf numFmtId="0" fontId="0" fillId="0" borderId="26" xfId="0" applyBorder="1" applyProtection="1">
      <protection hidden="1"/>
    </xf>
    <xf numFmtId="0" fontId="0" fillId="0" borderId="19" xfId="0" applyBorder="1" applyProtection="1">
      <protection hidden="1"/>
    </xf>
    <xf numFmtId="0" fontId="0" fillId="0" borderId="5" xfId="0" applyBorder="1" applyProtection="1">
      <protection hidden="1"/>
    </xf>
    <xf numFmtId="0" fontId="0" fillId="0" borderId="7" xfId="0" applyBorder="1" applyProtection="1">
      <protection hidden="1"/>
    </xf>
    <xf numFmtId="20" fontId="0" fillId="5" borderId="1" xfId="0" applyNumberFormat="1" applyFill="1" applyBorder="1" applyProtection="1">
      <protection hidden="1"/>
    </xf>
    <xf numFmtId="0" fontId="0" fillId="5" borderId="1" xfId="0" applyFill="1" applyBorder="1" applyProtection="1">
      <protection hidden="1"/>
    </xf>
    <xf numFmtId="0" fontId="0" fillId="0" borderId="28" xfId="0" applyBorder="1" applyAlignment="1" applyProtection="1">
      <alignment horizontal="center"/>
      <protection hidden="1"/>
    </xf>
    <xf numFmtId="20" fontId="0" fillId="0" borderId="0" xfId="0" applyNumberFormat="1" applyBorder="1" applyProtection="1">
      <protection hidden="1"/>
    </xf>
    <xf numFmtId="0" fontId="2" fillId="0" borderId="1" xfId="0" applyFont="1" applyBorder="1" applyAlignment="1" applyProtection="1">
      <alignment horizontal="center"/>
      <protection hidden="1"/>
    </xf>
    <xf numFmtId="0" fontId="2" fillId="0" borderId="23" xfId="0" applyFont="1" applyBorder="1" applyProtection="1">
      <protection hidden="1"/>
    </xf>
    <xf numFmtId="0" fontId="0" fillId="0" borderId="23" xfId="0" applyBorder="1" applyProtection="1">
      <protection hidden="1"/>
    </xf>
    <xf numFmtId="0" fontId="0" fillId="0" borderId="0" xfId="0" applyAlignment="1" applyProtection="1">
      <alignment horizontal="center"/>
      <protection locked="0"/>
    </xf>
    <xf numFmtId="0" fontId="2" fillId="0" borderId="42" xfId="0" applyFont="1" applyBorder="1" applyAlignment="1" applyProtection="1">
      <alignment horizontal="center" vertical="center"/>
      <protection hidden="1"/>
    </xf>
    <xf numFmtId="0" fontId="2" fillId="23" borderId="3" xfId="0" applyFont="1" applyFill="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0" fillId="8" borderId="14" xfId="0" applyFill="1" applyBorder="1" applyProtection="1">
      <protection hidden="1"/>
    </xf>
    <xf numFmtId="0" fontId="0" fillId="8" borderId="19" xfId="0" applyFill="1" applyBorder="1" applyProtection="1">
      <protection hidden="1"/>
    </xf>
    <xf numFmtId="0" fontId="22" fillId="0" borderId="37" xfId="0" applyFont="1" applyBorder="1" applyAlignment="1" applyProtection="1">
      <alignment horizontal="center" vertical="center"/>
      <protection hidden="1"/>
    </xf>
    <xf numFmtId="0" fontId="22" fillId="0" borderId="38" xfId="0" applyFont="1" applyBorder="1" applyAlignment="1" applyProtection="1">
      <alignment horizontal="center" vertical="center"/>
      <protection hidden="1"/>
    </xf>
    <xf numFmtId="0" fontId="0" fillId="8" borderId="5" xfId="0" applyFill="1" applyBorder="1" applyProtection="1">
      <protection hidden="1"/>
    </xf>
    <xf numFmtId="0" fontId="0" fillId="8" borderId="0" xfId="0" applyFill="1" applyBorder="1" applyProtection="1">
      <protection hidden="1"/>
    </xf>
    <xf numFmtId="0" fontId="0" fillId="8" borderId="16" xfId="0" applyFill="1" applyBorder="1" applyProtection="1">
      <protection hidden="1"/>
    </xf>
    <xf numFmtId="0" fontId="0" fillId="8" borderId="29" xfId="0" applyFill="1" applyBorder="1" applyProtection="1">
      <protection hidden="1"/>
    </xf>
    <xf numFmtId="0" fontId="2" fillId="8" borderId="16" xfId="0" applyFont="1" applyFill="1" applyBorder="1" applyProtection="1">
      <protection hidden="1"/>
    </xf>
    <xf numFmtId="0" fontId="2" fillId="8" borderId="9" xfId="0" applyFont="1" applyFill="1" applyBorder="1" applyProtection="1">
      <protection hidden="1"/>
    </xf>
    <xf numFmtId="0" fontId="0" fillId="8" borderId="9" xfId="0" applyFill="1" applyBorder="1" applyProtection="1">
      <protection hidden="1"/>
    </xf>
    <xf numFmtId="0" fontId="0" fillId="0" borderId="0" xfId="0" applyFill="1" applyProtection="1">
      <protection hidden="1"/>
    </xf>
    <xf numFmtId="0" fontId="2" fillId="14" borderId="1" xfId="0" applyFont="1" applyFill="1" applyBorder="1" applyAlignment="1" applyProtection="1">
      <alignment horizontal="center" vertical="center"/>
    </xf>
    <xf numFmtId="0" fontId="0" fillId="0" borderId="0" xfId="0" applyProtection="1"/>
    <xf numFmtId="3" fontId="2" fillId="0" borderId="1" xfId="0" applyNumberFormat="1" applyFont="1" applyBorder="1" applyAlignment="1" applyProtection="1">
      <alignment horizontal="center" vertical="center"/>
    </xf>
    <xf numFmtId="0" fontId="22" fillId="0" borderId="1" xfId="0" applyFont="1" applyBorder="1" applyAlignment="1" applyProtection="1">
      <alignment horizontal="center" vertical="center"/>
    </xf>
    <xf numFmtId="1" fontId="2" fillId="0" borderId="1" xfId="0" applyNumberFormat="1" applyFont="1" applyBorder="1" applyAlignment="1" applyProtection="1">
      <alignment horizontal="center" vertical="center"/>
    </xf>
    <xf numFmtId="3" fontId="33" fillId="13" borderId="26" xfId="4" applyNumberFormat="1" applyFont="1" applyBorder="1" applyAlignment="1" applyProtection="1">
      <alignment horizontal="center" vertical="center"/>
    </xf>
    <xf numFmtId="2" fontId="33" fillId="13" borderId="26" xfId="4" applyNumberFormat="1" applyFont="1" applyBorder="1" applyAlignment="1" applyProtection="1">
      <alignment horizontal="center" vertical="center"/>
    </xf>
    <xf numFmtId="0" fontId="31" fillId="12" borderId="21" xfId="0" applyFont="1" applyFill="1" applyBorder="1" applyAlignment="1" applyProtection="1">
      <alignment horizontal="center" vertical="center"/>
      <protection locked="0"/>
    </xf>
    <xf numFmtId="20" fontId="2" fillId="23" borderId="6" xfId="0" applyNumberFormat="1" applyFont="1" applyFill="1" applyBorder="1" applyAlignment="1" applyProtection="1">
      <alignment vertical="center"/>
      <protection hidden="1"/>
    </xf>
    <xf numFmtId="0" fontId="2" fillId="23" borderId="6" xfId="0" applyFont="1" applyFill="1" applyBorder="1" applyAlignment="1" applyProtection="1">
      <alignment vertical="center"/>
      <protection hidden="1"/>
    </xf>
    <xf numFmtId="0" fontId="2" fillId="23" borderId="8" xfId="0" applyFont="1" applyFill="1" applyBorder="1" applyAlignment="1" applyProtection="1">
      <alignment vertical="center"/>
      <protection hidden="1"/>
    </xf>
    <xf numFmtId="0" fontId="22" fillId="0" borderId="0" xfId="0" applyFont="1" applyBorder="1" applyAlignment="1" applyProtection="1">
      <protection locked="0"/>
    </xf>
    <xf numFmtId="0" fontId="22" fillId="0" borderId="0" xfId="0" applyFont="1" applyBorder="1" applyAlignment="1" applyProtection="1">
      <alignment wrapText="1"/>
      <protection locked="0"/>
    </xf>
    <xf numFmtId="0" fontId="0" fillId="31" borderId="0" xfId="0" applyFill="1"/>
    <xf numFmtId="0" fontId="2" fillId="31" borderId="0" xfId="0" applyFont="1" applyFill="1"/>
    <xf numFmtId="0" fontId="11" fillId="31" borderId="0" xfId="0" applyFont="1" applyFill="1" applyAlignment="1">
      <alignment horizontal="center"/>
    </xf>
    <xf numFmtId="0" fontId="12" fillId="31" borderId="10" xfId="1" applyFont="1" applyFill="1" applyBorder="1" applyAlignment="1">
      <alignment horizontal="center"/>
    </xf>
    <xf numFmtId="0" fontId="12" fillId="31" borderId="11" xfId="1" applyFont="1" applyFill="1" applyBorder="1" applyAlignment="1">
      <alignment horizontal="center"/>
    </xf>
    <xf numFmtId="0" fontId="18" fillId="31" borderId="1" xfId="2" applyFont="1" applyFill="1" applyBorder="1"/>
    <xf numFmtId="0" fontId="19" fillId="31" borderId="1" xfId="3" applyFont="1" applyFill="1" applyBorder="1"/>
    <xf numFmtId="0" fontId="9" fillId="31" borderId="1" xfId="0" applyFont="1" applyFill="1" applyBorder="1" applyAlignment="1">
      <alignment horizontal="center"/>
    </xf>
    <xf numFmtId="0" fontId="6" fillId="31" borderId="0" xfId="1" applyFont="1" applyFill="1"/>
    <xf numFmtId="0" fontId="6" fillId="31" borderId="4" xfId="1" applyFont="1" applyFill="1" applyBorder="1" applyAlignment="1">
      <alignment horizontal="center"/>
    </xf>
    <xf numFmtId="0" fontId="6" fillId="31" borderId="5" xfId="1" applyFont="1" applyFill="1" applyBorder="1"/>
    <xf numFmtId="0" fontId="15" fillId="31" borderId="1" xfId="0" applyFont="1" applyFill="1" applyBorder="1" applyAlignment="1">
      <alignment horizontal="center"/>
    </xf>
    <xf numFmtId="0" fontId="15" fillId="31" borderId="0" xfId="0" applyFont="1" applyFill="1"/>
    <xf numFmtId="0" fontId="6" fillId="31" borderId="6" xfId="1" applyFont="1" applyFill="1" applyBorder="1" applyAlignment="1">
      <alignment horizontal="center"/>
    </xf>
    <xf numFmtId="0" fontId="6" fillId="31" borderId="7" xfId="1" applyFont="1" applyFill="1" applyBorder="1"/>
    <xf numFmtId="0" fontId="6" fillId="31" borderId="44" xfId="1" applyFont="1" applyFill="1" applyBorder="1" applyAlignment="1">
      <alignment horizontal="center"/>
    </xf>
    <xf numFmtId="0" fontId="6" fillId="31" borderId="13" xfId="1" applyFont="1" applyFill="1" applyBorder="1" applyAlignment="1">
      <alignment horizontal="center"/>
    </xf>
    <xf numFmtId="0" fontId="17" fillId="31" borderId="1" xfId="0" applyFont="1" applyFill="1" applyBorder="1" applyAlignment="1">
      <alignment horizontal="center"/>
    </xf>
    <xf numFmtId="0" fontId="16" fillId="31" borderId="1" xfId="0" applyFont="1" applyFill="1" applyBorder="1" applyAlignment="1">
      <alignment horizontal="center"/>
    </xf>
    <xf numFmtId="0" fontId="2" fillId="31" borderId="14" xfId="0" applyFont="1" applyFill="1" applyBorder="1"/>
    <xf numFmtId="0" fontId="2" fillId="31" borderId="19" xfId="0" applyFont="1" applyFill="1" applyBorder="1"/>
    <xf numFmtId="0" fontId="0" fillId="31" borderId="19" xfId="0" applyFill="1" applyBorder="1"/>
    <xf numFmtId="0" fontId="0" fillId="31" borderId="5" xfId="0" applyFill="1" applyBorder="1"/>
    <xf numFmtId="0" fontId="2" fillId="31" borderId="15" xfId="0" applyFont="1" applyFill="1" applyBorder="1"/>
    <xf numFmtId="0" fontId="2" fillId="31" borderId="0" xfId="0" applyFont="1" applyFill="1" applyBorder="1"/>
    <xf numFmtId="0" fontId="0" fillId="31" borderId="0" xfId="0" applyFill="1" applyBorder="1"/>
    <xf numFmtId="0" fontId="0" fillId="31" borderId="7" xfId="0" applyFill="1" applyBorder="1"/>
    <xf numFmtId="0" fontId="11" fillId="31" borderId="1" xfId="1" applyFont="1" applyFill="1" applyBorder="1" applyAlignment="1">
      <alignment horizontal="center"/>
    </xf>
    <xf numFmtId="0" fontId="5" fillId="31" borderId="0" xfId="0" applyNumberFormat="1" applyFont="1" applyFill="1" applyAlignment="1">
      <alignment horizontal="center" vertical="center" wrapText="1"/>
    </xf>
    <xf numFmtId="0" fontId="4" fillId="31" borderId="2" xfId="0" applyNumberFormat="1" applyFont="1" applyFill="1" applyBorder="1" applyAlignment="1">
      <alignment horizontal="center" vertical="center" wrapText="1"/>
    </xf>
    <xf numFmtId="0" fontId="5" fillId="31" borderId="2" xfId="0" applyFont="1" applyFill="1" applyBorder="1" applyAlignment="1">
      <alignment horizontal="center" vertical="center" wrapText="1"/>
    </xf>
    <xf numFmtId="0" fontId="5" fillId="31" borderId="2" xfId="0" applyFont="1" applyFill="1" applyBorder="1" applyAlignment="1">
      <alignment horizontal="center" vertical="top" wrapText="1" readingOrder="1"/>
    </xf>
    <xf numFmtId="0" fontId="5" fillId="31" borderId="0" xfId="0" applyFont="1" applyFill="1" applyAlignment="1">
      <alignment horizontal="center" vertical="center" wrapText="1"/>
    </xf>
    <xf numFmtId="0" fontId="9" fillId="31" borderId="2" xfId="1" applyFont="1" applyFill="1" applyBorder="1" applyAlignment="1">
      <alignment horizontal="left" vertical="center" wrapText="1"/>
    </xf>
    <xf numFmtId="0" fontId="4" fillId="31" borderId="2" xfId="0" applyFont="1" applyFill="1" applyBorder="1" applyAlignment="1">
      <alignment horizontal="center" vertical="center" wrapText="1"/>
    </xf>
    <xf numFmtId="0" fontId="0" fillId="31" borderId="0" xfId="0" applyNumberFormat="1" applyFill="1" applyAlignment="1">
      <alignment horizontal="center"/>
    </xf>
    <xf numFmtId="0" fontId="2" fillId="31" borderId="3" xfId="0" applyNumberFormat="1" applyFont="1" applyFill="1" applyBorder="1" applyAlignment="1">
      <alignment horizontal="center"/>
    </xf>
    <xf numFmtId="0" fontId="0" fillId="31" borderId="3" xfId="0" applyFill="1" applyBorder="1" applyAlignment="1">
      <alignment horizontal="center"/>
    </xf>
    <xf numFmtId="0" fontId="9" fillId="31" borderId="3" xfId="1" applyFont="1" applyFill="1" applyBorder="1" applyAlignment="1">
      <alignment horizontal="center"/>
    </xf>
    <xf numFmtId="0" fontId="0" fillId="31" borderId="3" xfId="0" applyNumberFormat="1" applyFill="1" applyBorder="1" applyAlignment="1">
      <alignment horizontal="center"/>
    </xf>
    <xf numFmtId="0" fontId="10" fillId="31" borderId="3" xfId="0" applyNumberFormat="1" applyFont="1" applyFill="1" applyBorder="1" applyAlignment="1">
      <alignment horizontal="center"/>
    </xf>
    <xf numFmtId="0" fontId="2" fillId="31" borderId="1" xfId="0" applyNumberFormat="1" applyFont="1" applyFill="1" applyBorder="1" applyAlignment="1">
      <alignment horizontal="center"/>
    </xf>
    <xf numFmtId="0" fontId="0" fillId="31" borderId="1" xfId="0" applyFill="1" applyBorder="1" applyAlignment="1">
      <alignment horizontal="center"/>
    </xf>
    <xf numFmtId="0" fontId="9" fillId="31" borderId="1" xfId="1" applyFont="1" applyFill="1" applyBorder="1" applyAlignment="1">
      <alignment horizontal="center"/>
    </xf>
    <xf numFmtId="0" fontId="0" fillId="31" borderId="1" xfId="0" applyNumberFormat="1" applyFill="1" applyBorder="1" applyAlignment="1">
      <alignment horizontal="center"/>
    </xf>
    <xf numFmtId="0" fontId="10" fillId="31" borderId="1" xfId="0" applyNumberFormat="1" applyFont="1" applyFill="1" applyBorder="1" applyAlignment="1">
      <alignment horizontal="center"/>
    </xf>
    <xf numFmtId="0" fontId="0" fillId="31" borderId="0" xfId="0" applyFill="1" applyAlignment="1">
      <alignment horizontal="center"/>
    </xf>
    <xf numFmtId="0" fontId="2" fillId="31" borderId="1" xfId="0" applyFont="1" applyFill="1" applyBorder="1" applyAlignment="1">
      <alignment horizontal="center"/>
    </xf>
    <xf numFmtId="0" fontId="2" fillId="31" borderId="0" xfId="0" applyNumberFormat="1" applyFont="1" applyFill="1"/>
    <xf numFmtId="0" fontId="2" fillId="31" borderId="1" xfId="0" applyFont="1" applyFill="1" applyBorder="1"/>
    <xf numFmtId="0" fontId="0" fillId="31" borderId="1" xfId="0" applyFill="1" applyBorder="1"/>
    <xf numFmtId="0" fontId="11" fillId="31" borderId="1" xfId="0" applyFont="1" applyFill="1" applyBorder="1" applyAlignment="1">
      <alignment horizontal="center"/>
    </xf>
    <xf numFmtId="0" fontId="0" fillId="33" borderId="0" xfId="0" applyFill="1" applyProtection="1">
      <protection locked="0"/>
    </xf>
    <xf numFmtId="0" fontId="42" fillId="33" borderId="0" xfId="6" applyFill="1" applyProtection="1">
      <protection locked="0"/>
    </xf>
    <xf numFmtId="0" fontId="0" fillId="33" borderId="0" xfId="0" applyFill="1" applyProtection="1">
      <protection hidden="1"/>
    </xf>
    <xf numFmtId="0" fontId="0" fillId="33" borderId="0" xfId="0" applyFill="1" applyAlignment="1" applyProtection="1">
      <alignment horizontal="center" vertical="center"/>
      <protection hidden="1"/>
    </xf>
    <xf numFmtId="0" fontId="0" fillId="33" borderId="0" xfId="0" applyFill="1" applyAlignment="1" applyProtection="1">
      <alignment wrapText="1"/>
      <protection hidden="1"/>
    </xf>
    <xf numFmtId="0" fontId="44" fillId="33" borderId="26" xfId="0" applyFont="1" applyFill="1" applyBorder="1" applyAlignment="1" applyProtection="1">
      <alignment horizontal="left" wrapText="1"/>
      <protection hidden="1"/>
    </xf>
    <xf numFmtId="0" fontId="44" fillId="33" borderId="0" xfId="0" applyFont="1" applyFill="1" applyAlignment="1" applyProtection="1">
      <alignment vertical="top" wrapText="1"/>
      <protection hidden="1"/>
    </xf>
    <xf numFmtId="0" fontId="50" fillId="33" borderId="0" xfId="0" applyFont="1" applyFill="1" applyAlignment="1" applyProtection="1">
      <alignment vertical="top" wrapText="1"/>
      <protection hidden="1"/>
    </xf>
    <xf numFmtId="0" fontId="44" fillId="33" borderId="0" xfId="0" applyFont="1" applyFill="1" applyProtection="1">
      <protection hidden="1"/>
    </xf>
    <xf numFmtId="0" fontId="47" fillId="33" borderId="0" xfId="0" applyFont="1" applyFill="1" applyAlignment="1" applyProtection="1">
      <alignment horizontal="left" vertical="center"/>
      <protection hidden="1"/>
    </xf>
    <xf numFmtId="0" fontId="0" fillId="33" borderId="0" xfId="0" applyFill="1" applyAlignment="1" applyProtection="1">
      <protection locked="0"/>
    </xf>
    <xf numFmtId="0" fontId="58" fillId="35" borderId="30" xfId="0" applyFont="1" applyFill="1" applyBorder="1" applyAlignment="1" applyProtection="1">
      <alignment horizontal="center" vertical="center"/>
      <protection hidden="1"/>
    </xf>
    <xf numFmtId="0" fontId="58" fillId="34" borderId="30" xfId="0" applyFont="1" applyFill="1" applyBorder="1" applyAlignment="1" applyProtection="1">
      <alignment horizontal="left" vertical="center"/>
      <protection hidden="1"/>
    </xf>
    <xf numFmtId="0" fontId="57" fillId="34" borderId="28" xfId="0" applyFont="1" applyFill="1" applyBorder="1" applyAlignment="1" applyProtection="1">
      <alignment horizontal="center" vertical="center"/>
      <protection hidden="1"/>
    </xf>
    <xf numFmtId="0" fontId="60" fillId="0" borderId="0" xfId="0" applyFont="1"/>
    <xf numFmtId="0" fontId="0" fillId="0" borderId="0" xfId="0" applyNumberFormat="1"/>
    <xf numFmtId="0" fontId="20" fillId="39" borderId="17" xfId="0" applyFont="1" applyFill="1" applyBorder="1" applyAlignment="1" applyProtection="1">
      <alignment horizontal="center"/>
      <protection locked="0"/>
    </xf>
    <xf numFmtId="0" fontId="0" fillId="42" borderId="14" xfId="0" applyFill="1" applyBorder="1" applyAlignment="1" applyProtection="1">
      <protection locked="0"/>
    </xf>
    <xf numFmtId="0" fontId="0" fillId="42" borderId="16" xfId="0" applyFill="1" applyBorder="1" applyAlignment="1" applyProtection="1">
      <protection locked="0"/>
    </xf>
    <xf numFmtId="0" fontId="0" fillId="0" borderId="1" xfId="0" applyBorder="1"/>
    <xf numFmtId="0" fontId="0" fillId="0" borderId="13" xfId="0" applyBorder="1"/>
    <xf numFmtId="0" fontId="0" fillId="0" borderId="4" xfId="0" applyBorder="1"/>
    <xf numFmtId="0" fontId="0" fillId="0" borderId="30" xfId="0" applyBorder="1"/>
    <xf numFmtId="0" fontId="0" fillId="0" borderId="33" xfId="0" applyBorder="1"/>
    <xf numFmtId="0" fontId="61" fillId="0" borderId="1" xfId="0" applyFont="1" applyBorder="1"/>
    <xf numFmtId="0" fontId="22" fillId="0" borderId="1" xfId="0" applyFont="1" applyBorder="1"/>
    <xf numFmtId="0" fontId="56" fillId="12" borderId="26" xfId="0" applyFont="1" applyFill="1" applyBorder="1" applyAlignment="1" applyProtection="1">
      <alignment horizontal="center" vertical="center"/>
      <protection locked="0"/>
    </xf>
    <xf numFmtId="0" fontId="20" fillId="11" borderId="22" xfId="0" applyFont="1" applyFill="1" applyBorder="1" applyAlignment="1" applyProtection="1">
      <alignment horizontal="center" vertical="center"/>
      <protection hidden="1"/>
    </xf>
    <xf numFmtId="0" fontId="0" fillId="0" borderId="1" xfId="0" applyBorder="1" applyAlignment="1" applyProtection="1">
      <alignment horizontal="center"/>
      <protection locked="0"/>
    </xf>
    <xf numFmtId="0" fontId="0" fillId="0" borderId="1" xfId="0" applyBorder="1" applyAlignment="1">
      <alignment horizontal="center"/>
    </xf>
    <xf numFmtId="165" fontId="2" fillId="0" borderId="1" xfId="0" applyNumberFormat="1" applyFont="1" applyBorder="1" applyAlignment="1" applyProtection="1">
      <alignment horizontal="center" vertical="center"/>
      <protection hidden="1"/>
    </xf>
    <xf numFmtId="165" fontId="2" fillId="0" borderId="21" xfId="0" applyNumberFormat="1" applyFont="1" applyBorder="1" applyAlignment="1" applyProtection="1">
      <alignment horizontal="center" vertical="center"/>
      <protection hidden="1"/>
    </xf>
    <xf numFmtId="165" fontId="2" fillId="0" borderId="41" xfId="0" applyNumberFormat="1" applyFont="1" applyBorder="1" applyAlignment="1" applyProtection="1">
      <alignment horizontal="center" vertical="center"/>
      <protection hidden="1"/>
    </xf>
    <xf numFmtId="165" fontId="2" fillId="0" borderId="45" xfId="0" applyNumberFormat="1" applyFont="1" applyBorder="1" applyAlignment="1" applyProtection="1">
      <alignment horizontal="center" vertical="center"/>
      <protection hidden="1"/>
    </xf>
    <xf numFmtId="0" fontId="0" fillId="0" borderId="0" xfId="0" applyBorder="1"/>
    <xf numFmtId="0" fontId="0" fillId="0" borderId="0" xfId="0" applyFill="1" applyProtection="1">
      <protection locked="0"/>
    </xf>
    <xf numFmtId="0" fontId="0" fillId="37" borderId="15" xfId="0" applyFill="1" applyBorder="1" applyProtection="1">
      <protection hidden="1"/>
    </xf>
    <xf numFmtId="0" fontId="0" fillId="37" borderId="0" xfId="0" applyFill="1" applyBorder="1" applyProtection="1">
      <protection hidden="1"/>
    </xf>
    <xf numFmtId="0" fontId="22" fillId="37" borderId="15" xfId="0" applyFont="1" applyFill="1" applyBorder="1" applyProtection="1">
      <protection hidden="1"/>
    </xf>
    <xf numFmtId="0" fontId="22" fillId="37" borderId="0" xfId="0" applyFont="1" applyFill="1" applyBorder="1" applyProtection="1">
      <protection hidden="1"/>
    </xf>
    <xf numFmtId="0" fontId="0" fillId="37" borderId="16" xfId="0" applyFill="1" applyBorder="1" applyProtection="1">
      <protection hidden="1"/>
    </xf>
    <xf numFmtId="0" fontId="0" fillId="37" borderId="29" xfId="0" applyFill="1" applyBorder="1" applyProtection="1">
      <protection hidden="1"/>
    </xf>
    <xf numFmtId="0" fontId="2" fillId="41" borderId="56" xfId="0" applyFont="1" applyFill="1" applyBorder="1" applyAlignment="1" applyProtection="1">
      <alignment horizontal="center" vertical="center"/>
      <protection hidden="1"/>
    </xf>
    <xf numFmtId="0" fontId="2" fillId="41" borderId="57" xfId="0" applyFont="1" applyFill="1" applyBorder="1" applyAlignment="1" applyProtection="1">
      <alignment horizontal="center"/>
      <protection hidden="1"/>
    </xf>
    <xf numFmtId="0" fontId="2" fillId="41" borderId="58" xfId="0" applyFont="1" applyFill="1" applyBorder="1" applyAlignment="1" applyProtection="1">
      <alignment horizontal="center"/>
      <protection hidden="1"/>
    </xf>
    <xf numFmtId="0" fontId="66" fillId="33" borderId="75" xfId="0" applyFont="1" applyFill="1" applyBorder="1" applyAlignment="1" applyProtection="1">
      <alignment horizontal="center" vertical="center"/>
      <protection hidden="1"/>
    </xf>
    <xf numFmtId="0" fontId="66" fillId="33" borderId="76" xfId="0" applyFont="1" applyFill="1" applyBorder="1" applyAlignment="1" applyProtection="1">
      <alignment horizontal="center" vertical="center"/>
      <protection hidden="1"/>
    </xf>
    <xf numFmtId="0" fontId="31" fillId="33" borderId="76" xfId="0" applyFont="1" applyFill="1" applyBorder="1" applyAlignment="1" applyProtection="1">
      <alignment horizontal="center" vertical="center"/>
      <protection hidden="1"/>
    </xf>
    <xf numFmtId="0" fontId="31" fillId="33" borderId="19" xfId="0" applyFont="1" applyFill="1" applyBorder="1" applyAlignment="1" applyProtection="1">
      <alignment horizontal="center" vertical="center"/>
      <protection hidden="1"/>
    </xf>
    <xf numFmtId="0" fontId="11" fillId="37" borderId="42" xfId="0" applyFont="1" applyFill="1" applyBorder="1" applyAlignment="1" applyProtection="1">
      <alignment horizontal="center"/>
      <protection hidden="1"/>
    </xf>
    <xf numFmtId="0" fontId="64" fillId="4" borderId="4" xfId="3" applyFont="1" applyBorder="1" applyAlignment="1" applyProtection="1">
      <alignment horizontal="center"/>
      <protection hidden="1"/>
    </xf>
    <xf numFmtId="0" fontId="2" fillId="23" borderId="60" xfId="0" applyFont="1" applyFill="1" applyBorder="1" applyAlignment="1" applyProtection="1">
      <alignment horizontal="center" vertical="center"/>
      <protection hidden="1"/>
    </xf>
    <xf numFmtId="0" fontId="0" fillId="0" borderId="0" xfId="0" applyAlignment="1" applyProtection="1">
      <alignment vertical="center" wrapText="1"/>
      <protection locked="0"/>
    </xf>
    <xf numFmtId="0" fontId="65" fillId="0" borderId="26" xfId="0" applyFont="1" applyBorder="1" applyAlignment="1" applyProtection="1">
      <alignment horizontal="left" vertical="top"/>
      <protection hidden="1"/>
    </xf>
    <xf numFmtId="0" fontId="0" fillId="44" borderId="26" xfId="0" applyFill="1" applyBorder="1" applyProtection="1">
      <protection hidden="1"/>
    </xf>
    <xf numFmtId="0" fontId="0" fillId="0" borderId="0" xfId="0" applyFill="1" applyAlignment="1" applyProtection="1">
      <protection hidden="1"/>
    </xf>
    <xf numFmtId="0" fontId="0" fillId="0" borderId="0" xfId="0" applyAlignment="1" applyProtection="1">
      <protection hidden="1"/>
    </xf>
    <xf numFmtId="0" fontId="20" fillId="19" borderId="4" xfId="0" applyFont="1" applyFill="1" applyBorder="1" applyAlignment="1" applyProtection="1">
      <alignment horizontal="center" vertical="center"/>
      <protection hidden="1"/>
    </xf>
    <xf numFmtId="0" fontId="20" fillId="19" borderId="6" xfId="0" applyFont="1" applyFill="1" applyBorder="1" applyAlignment="1" applyProtection="1">
      <alignment horizontal="center" vertical="center"/>
      <protection hidden="1"/>
    </xf>
    <xf numFmtId="0" fontId="70" fillId="46" borderId="4" xfId="0" applyFont="1" applyFill="1" applyBorder="1" applyAlignment="1" applyProtection="1">
      <alignment horizontal="center" vertical="center"/>
      <protection hidden="1"/>
    </xf>
    <xf numFmtId="0" fontId="70" fillId="46" borderId="30" xfId="0" applyFont="1" applyFill="1" applyBorder="1" applyAlignment="1" applyProtection="1">
      <alignment horizontal="center" vertical="center"/>
      <protection hidden="1"/>
    </xf>
    <xf numFmtId="0" fontId="57" fillId="46" borderId="30" xfId="0" applyFont="1" applyFill="1" applyBorder="1" applyAlignment="1" applyProtection="1">
      <alignment horizontal="center" vertical="center"/>
      <protection hidden="1"/>
    </xf>
    <xf numFmtId="0" fontId="38" fillId="46" borderId="30" xfId="0" applyFont="1" applyFill="1" applyBorder="1" applyAlignment="1" applyProtection="1">
      <alignment horizontal="center" vertical="center"/>
      <protection hidden="1"/>
    </xf>
    <xf numFmtId="0" fontId="0" fillId="0" borderId="0" xfId="0" applyProtection="1">
      <protection locked="0"/>
    </xf>
    <xf numFmtId="0" fontId="0" fillId="0" borderId="0" xfId="0" applyProtection="1">
      <protection locked="0"/>
    </xf>
    <xf numFmtId="0" fontId="0" fillId="0" borderId="0" xfId="0" applyProtection="1">
      <protection locked="0"/>
    </xf>
    <xf numFmtId="0" fontId="2" fillId="23" borderId="61" xfId="0" applyFont="1" applyFill="1" applyBorder="1" applyAlignment="1" applyProtection="1">
      <alignment horizontal="center" vertical="center"/>
      <protection hidden="1"/>
    </xf>
    <xf numFmtId="0" fontId="11" fillId="37" borderId="78" xfId="0" applyFont="1" applyFill="1" applyBorder="1" applyAlignment="1" applyProtection="1">
      <alignment horizontal="center"/>
      <protection hidden="1"/>
    </xf>
    <xf numFmtId="0" fontId="64" fillId="4" borderId="37" xfId="3" applyFont="1" applyBorder="1" applyAlignment="1" applyProtection="1">
      <alignment horizontal="center"/>
      <protection hidden="1"/>
    </xf>
    <xf numFmtId="0" fontId="0" fillId="0" borderId="0" xfId="0" applyProtection="1">
      <protection locked="0"/>
    </xf>
    <xf numFmtId="0" fontId="0" fillId="0" borderId="15" xfId="0" applyBorder="1" applyAlignment="1" applyProtection="1">
      <protection hidden="1"/>
    </xf>
    <xf numFmtId="0" fontId="11" fillId="0" borderId="0" xfId="0" applyFont="1" applyProtection="1">
      <protection hidden="1"/>
    </xf>
    <xf numFmtId="0" fontId="32" fillId="0" borderId="0" xfId="0" applyFont="1" applyProtection="1">
      <protection hidden="1"/>
    </xf>
    <xf numFmtId="0" fontId="60" fillId="48" borderId="81" xfId="0" applyFont="1" applyFill="1" applyBorder="1"/>
    <xf numFmtId="0" fontId="2" fillId="44" borderId="3" xfId="0" applyFont="1" applyFill="1" applyBorder="1" applyAlignment="1" applyProtection="1">
      <alignment horizontal="center" vertical="center"/>
      <protection hidden="1"/>
    </xf>
    <xf numFmtId="165" fontId="0" fillId="0" borderId="0" xfId="0" applyNumberFormat="1" applyProtection="1">
      <protection locked="0"/>
    </xf>
    <xf numFmtId="0" fontId="51" fillId="24" borderId="1" xfId="0" applyFont="1" applyFill="1" applyBorder="1" applyAlignment="1" applyProtection="1">
      <alignment horizontal="center" vertical="center"/>
      <protection locked="0"/>
    </xf>
    <xf numFmtId="9" fontId="34" fillId="45" borderId="1" xfId="5" applyFont="1" applyFill="1" applyBorder="1" applyAlignment="1" applyProtection="1">
      <alignment horizontal="center" vertical="center"/>
      <protection hidden="1"/>
    </xf>
    <xf numFmtId="0" fontId="0" fillId="0" borderId="0" xfId="0" applyProtection="1">
      <protection locked="0"/>
    </xf>
    <xf numFmtId="0" fontId="0" fillId="0" borderId="0" xfId="0" applyProtection="1">
      <protection locked="0"/>
    </xf>
    <xf numFmtId="20" fontId="0" fillId="0" borderId="0" xfId="0" applyNumberFormat="1" applyProtection="1">
      <protection locked="0"/>
    </xf>
    <xf numFmtId="3" fontId="2" fillId="23" borderId="3" xfId="0" applyNumberFormat="1" applyFont="1" applyFill="1" applyBorder="1" applyAlignment="1" applyProtection="1">
      <alignment horizontal="center" vertical="center"/>
      <protection hidden="1"/>
    </xf>
    <xf numFmtId="3" fontId="2" fillId="44" borderId="3" xfId="0" applyNumberFormat="1" applyFont="1" applyFill="1" applyBorder="1" applyAlignment="1" applyProtection="1">
      <alignment horizontal="center" vertical="center"/>
      <protection hidden="1"/>
    </xf>
    <xf numFmtId="3" fontId="2" fillId="0" borderId="3" xfId="0" applyNumberFormat="1" applyFont="1" applyBorder="1" applyAlignment="1" applyProtection="1">
      <alignment horizontal="center" vertical="center"/>
      <protection hidden="1"/>
    </xf>
    <xf numFmtId="3" fontId="22" fillId="0" borderId="37" xfId="0" applyNumberFormat="1" applyFont="1" applyBorder="1" applyAlignment="1" applyProtection="1">
      <alignment horizontal="center"/>
      <protection hidden="1"/>
    </xf>
    <xf numFmtId="0" fontId="74" fillId="50" borderId="37" xfId="0" applyFont="1" applyFill="1" applyBorder="1" applyAlignment="1" applyProtection="1">
      <alignment horizontal="center" vertical="center"/>
      <protection hidden="1"/>
    </xf>
    <xf numFmtId="0" fontId="74" fillId="50" borderId="53" xfId="0" applyFont="1" applyFill="1" applyBorder="1" applyAlignment="1" applyProtection="1">
      <alignment horizontal="center" vertical="center"/>
      <protection hidden="1"/>
    </xf>
    <xf numFmtId="0" fontId="74" fillId="50" borderId="38" xfId="0" applyFont="1" applyFill="1" applyBorder="1" applyAlignment="1" applyProtection="1">
      <alignment horizontal="center" vertical="center"/>
      <protection hidden="1"/>
    </xf>
    <xf numFmtId="3" fontId="20" fillId="0" borderId="42" xfId="0" applyNumberFormat="1" applyFont="1" applyBorder="1" applyAlignment="1" applyProtection="1">
      <alignment horizontal="center"/>
      <protection hidden="1"/>
    </xf>
    <xf numFmtId="2" fontId="20" fillId="0" borderId="3" xfId="0" applyNumberFormat="1" applyFont="1" applyBorder="1" applyAlignment="1" applyProtection="1">
      <alignment horizontal="center"/>
      <protection hidden="1"/>
    </xf>
    <xf numFmtId="3" fontId="20" fillId="0" borderId="43" xfId="0" applyNumberFormat="1" applyFont="1" applyBorder="1" applyAlignment="1" applyProtection="1">
      <alignment horizontal="center"/>
      <protection hidden="1"/>
    </xf>
    <xf numFmtId="3" fontId="20" fillId="0" borderId="6" xfId="0" applyNumberFormat="1" applyFont="1" applyBorder="1" applyAlignment="1" applyProtection="1">
      <alignment horizontal="center"/>
      <protection hidden="1"/>
    </xf>
    <xf numFmtId="2" fontId="20" fillId="0" borderId="1" xfId="0" applyNumberFormat="1" applyFont="1" applyBorder="1" applyAlignment="1" applyProtection="1">
      <alignment horizontal="center"/>
      <protection hidden="1"/>
    </xf>
    <xf numFmtId="3" fontId="20" fillId="0" borderId="28" xfId="0" applyNumberFormat="1" applyFont="1" applyBorder="1" applyAlignment="1" applyProtection="1">
      <alignment horizontal="center"/>
      <protection hidden="1"/>
    </xf>
    <xf numFmtId="3" fontId="27" fillId="8" borderId="6" xfId="0" applyNumberFormat="1" applyFont="1" applyFill="1" applyBorder="1" applyAlignment="1" applyProtection="1">
      <alignment horizontal="center"/>
      <protection hidden="1"/>
    </xf>
    <xf numFmtId="2" fontId="73" fillId="8" borderId="1" xfId="0" applyNumberFormat="1" applyFont="1" applyFill="1" applyBorder="1" applyAlignment="1" applyProtection="1">
      <alignment horizontal="center"/>
      <protection hidden="1"/>
    </xf>
    <xf numFmtId="3" fontId="20" fillId="0" borderId="8" xfId="0" applyNumberFormat="1" applyFont="1" applyBorder="1" applyAlignment="1" applyProtection="1">
      <alignment horizontal="center"/>
      <protection hidden="1"/>
    </xf>
    <xf numFmtId="2" fontId="20" fillId="0" borderId="41" xfId="0" applyNumberFormat="1" applyFont="1" applyBorder="1" applyAlignment="1" applyProtection="1">
      <alignment horizontal="center"/>
      <protection hidden="1"/>
    </xf>
    <xf numFmtId="3" fontId="20" fillId="0" borderId="46" xfId="0" applyNumberFormat="1" applyFont="1" applyBorder="1" applyAlignment="1" applyProtection="1">
      <alignment horizontal="center"/>
      <protection hidden="1"/>
    </xf>
    <xf numFmtId="0" fontId="2" fillId="0" borderId="0" xfId="0" applyFont="1" applyBorder="1" applyAlignment="1" applyProtection="1">
      <alignment horizontal="center" vertical="center"/>
      <protection hidden="1"/>
    </xf>
    <xf numFmtId="0" fontId="70" fillId="46" borderId="31" xfId="0" applyFont="1" applyFill="1" applyBorder="1" applyAlignment="1" applyProtection="1">
      <alignment horizontal="center" vertical="center"/>
      <protection hidden="1"/>
    </xf>
    <xf numFmtId="0" fontId="2" fillId="0" borderId="84" xfId="0" applyFont="1" applyBorder="1" applyAlignment="1" applyProtection="1">
      <alignment horizontal="center" vertical="center"/>
      <protection hidden="1"/>
    </xf>
    <xf numFmtId="3" fontId="2" fillId="0" borderId="1" xfId="0" applyNumberFormat="1" applyFont="1" applyBorder="1" applyAlignment="1" applyProtection="1">
      <alignment horizontal="center" vertical="center"/>
      <protection hidden="1"/>
    </xf>
    <xf numFmtId="0" fontId="27" fillId="0" borderId="37" xfId="0" applyFont="1" applyFill="1" applyBorder="1" applyAlignment="1" applyProtection="1">
      <alignment horizontal="center" vertical="center"/>
      <protection hidden="1"/>
    </xf>
    <xf numFmtId="0" fontId="27" fillId="0" borderId="53" xfId="0" applyFont="1" applyFill="1" applyBorder="1" applyAlignment="1" applyProtection="1">
      <alignment horizontal="center" vertical="center"/>
      <protection hidden="1"/>
    </xf>
    <xf numFmtId="0" fontId="27" fillId="0" borderId="38" xfId="0" applyFont="1" applyFill="1" applyBorder="1" applyAlignment="1" applyProtection="1">
      <alignment horizontal="center" vertical="center"/>
      <protection hidden="1"/>
    </xf>
    <xf numFmtId="0" fontId="2" fillId="0" borderId="13" xfId="0" applyFont="1" applyBorder="1" applyAlignment="1" applyProtection="1">
      <alignment horizontal="center" vertical="center"/>
      <protection hidden="1"/>
    </xf>
    <xf numFmtId="3" fontId="2" fillId="0" borderId="13" xfId="0" applyNumberFormat="1" applyFont="1" applyBorder="1" applyAlignment="1" applyProtection="1">
      <alignment horizontal="center" vertical="center"/>
      <protection hidden="1"/>
    </xf>
    <xf numFmtId="0" fontId="2" fillId="0" borderId="4" xfId="0" applyFont="1" applyBorder="1" applyAlignment="1" applyProtection="1">
      <alignment horizontal="center" vertical="center"/>
      <protection hidden="1"/>
    </xf>
    <xf numFmtId="0" fontId="2" fillId="0" borderId="30" xfId="0" applyFont="1" applyBorder="1" applyAlignment="1" applyProtection="1">
      <alignment horizontal="center" vertical="center"/>
      <protection hidden="1"/>
    </xf>
    <xf numFmtId="3" fontId="2" fillId="0" borderId="33" xfId="0" applyNumberFormat="1" applyFont="1" applyBorder="1" applyAlignment="1" applyProtection="1">
      <alignment horizontal="center" vertical="center"/>
      <protection hidden="1"/>
    </xf>
    <xf numFmtId="0" fontId="2" fillId="0" borderId="6" xfId="0" applyFont="1" applyBorder="1" applyAlignment="1" applyProtection="1">
      <alignment horizontal="center" vertical="center"/>
      <protection hidden="1"/>
    </xf>
    <xf numFmtId="3" fontId="2" fillId="0" borderId="28" xfId="0" applyNumberFormat="1" applyFont="1" applyBorder="1" applyAlignment="1" applyProtection="1">
      <alignment horizontal="center" vertical="center"/>
      <protection hidden="1"/>
    </xf>
    <xf numFmtId="0" fontId="20" fillId="25" borderId="6" xfId="0" applyFont="1" applyFill="1" applyBorder="1" applyAlignment="1" applyProtection="1">
      <alignment horizontal="center" vertical="center"/>
      <protection hidden="1"/>
    </xf>
    <xf numFmtId="0" fontId="2" fillId="0" borderId="8" xfId="0" applyFont="1" applyBorder="1" applyAlignment="1" applyProtection="1">
      <alignment horizontal="center" vertical="center"/>
      <protection hidden="1"/>
    </xf>
    <xf numFmtId="0" fontId="2" fillId="0" borderId="41" xfId="0" applyFont="1" applyBorder="1" applyAlignment="1" applyProtection="1">
      <alignment horizontal="center" vertical="center"/>
      <protection hidden="1"/>
    </xf>
    <xf numFmtId="3" fontId="2" fillId="0" borderId="46" xfId="0" applyNumberFormat="1" applyFont="1" applyBorder="1" applyAlignment="1" applyProtection="1">
      <alignment horizontal="center" vertical="center"/>
      <protection hidden="1"/>
    </xf>
    <xf numFmtId="0" fontId="54" fillId="33" borderId="0" xfId="0" applyFont="1" applyFill="1" applyAlignment="1" applyProtection="1">
      <alignment horizontal="left" vertical="top" wrapText="1"/>
      <protection hidden="1"/>
    </xf>
    <xf numFmtId="0" fontId="32" fillId="33" borderId="0" xfId="0" applyFont="1" applyFill="1" applyAlignment="1" applyProtection="1">
      <alignment horizontal="left"/>
      <protection locked="0"/>
    </xf>
    <xf numFmtId="0" fontId="45" fillId="33" borderId="47" xfId="0" applyFont="1" applyFill="1" applyBorder="1" applyAlignment="1" applyProtection="1">
      <alignment horizontal="center" vertical="center"/>
      <protection hidden="1"/>
    </xf>
    <xf numFmtId="0" fontId="45" fillId="33" borderId="48" xfId="0" applyFont="1" applyFill="1" applyBorder="1" applyAlignment="1" applyProtection="1">
      <alignment horizontal="center" vertical="center"/>
      <protection hidden="1"/>
    </xf>
    <xf numFmtId="0" fontId="45" fillId="33" borderId="49" xfId="0" applyFont="1" applyFill="1" applyBorder="1" applyAlignment="1" applyProtection="1">
      <alignment horizontal="center" vertical="center"/>
      <protection hidden="1"/>
    </xf>
    <xf numFmtId="0" fontId="45" fillId="33" borderId="39" xfId="0" applyFont="1" applyFill="1" applyBorder="1" applyAlignment="1" applyProtection="1">
      <alignment horizontal="center" vertical="center"/>
      <protection hidden="1"/>
    </xf>
    <xf numFmtId="0" fontId="45" fillId="33" borderId="0" xfId="0" applyFont="1" applyFill="1" applyBorder="1" applyAlignment="1" applyProtection="1">
      <alignment horizontal="center" vertical="center"/>
      <protection hidden="1"/>
    </xf>
    <xf numFmtId="0" fontId="45" fillId="33" borderId="40" xfId="0" applyFont="1" applyFill="1" applyBorder="1" applyAlignment="1" applyProtection="1">
      <alignment horizontal="center" vertical="center"/>
      <protection hidden="1"/>
    </xf>
    <xf numFmtId="0" fontId="45" fillId="33" borderId="50" xfId="0" applyFont="1" applyFill="1" applyBorder="1" applyAlignment="1" applyProtection="1">
      <alignment horizontal="center" vertical="center"/>
      <protection hidden="1"/>
    </xf>
    <xf numFmtId="0" fontId="45" fillId="33" borderId="51" xfId="0" applyFont="1" applyFill="1" applyBorder="1" applyAlignment="1" applyProtection="1">
      <alignment horizontal="center" vertical="center"/>
      <protection hidden="1"/>
    </xf>
    <xf numFmtId="0" fontId="45" fillId="33" borderId="52" xfId="0" applyFont="1" applyFill="1" applyBorder="1" applyAlignment="1" applyProtection="1">
      <alignment horizontal="center" vertical="center"/>
      <protection hidden="1"/>
    </xf>
    <xf numFmtId="0" fontId="0" fillId="33" borderId="0" xfId="0" applyFill="1" applyAlignment="1" applyProtection="1">
      <alignment horizontal="center"/>
      <protection locked="0"/>
    </xf>
    <xf numFmtId="0" fontId="0" fillId="33" borderId="0" xfId="0" applyFill="1" applyAlignment="1" applyProtection="1">
      <alignment horizontal="center"/>
    </xf>
    <xf numFmtId="0" fontId="51" fillId="33" borderId="0" xfId="0" applyFont="1" applyFill="1" applyAlignment="1" applyProtection="1">
      <alignment horizontal="left" vertical="center" wrapText="1"/>
      <protection hidden="1"/>
    </xf>
    <xf numFmtId="0" fontId="44" fillId="33" borderId="0" xfId="0" applyFont="1" applyFill="1" applyAlignment="1" applyProtection="1">
      <alignment horizontal="left" vertical="top" wrapText="1"/>
      <protection hidden="1"/>
    </xf>
    <xf numFmtId="0" fontId="46" fillId="33" borderId="0" xfId="0" applyFont="1" applyFill="1" applyAlignment="1" applyProtection="1">
      <alignment horizontal="left" vertical="top" wrapText="1"/>
      <protection hidden="1"/>
    </xf>
    <xf numFmtId="0" fontId="46" fillId="33" borderId="0" xfId="0" applyFont="1" applyFill="1" applyAlignment="1" applyProtection="1">
      <alignment horizontal="left" vertical="top"/>
      <protection hidden="1"/>
    </xf>
    <xf numFmtId="0" fontId="55" fillId="33" borderId="0" xfId="6" applyFont="1" applyFill="1" applyBorder="1" applyAlignment="1" applyProtection="1">
      <protection hidden="1"/>
    </xf>
    <xf numFmtId="0" fontId="2" fillId="0" borderId="14" xfId="0" applyFont="1" applyBorder="1" applyAlignment="1" applyProtection="1">
      <alignment horizontal="center" wrapText="1"/>
      <protection hidden="1"/>
    </xf>
    <xf numFmtId="0" fontId="2" fillId="0" borderId="19" xfId="0" applyFont="1" applyBorder="1" applyAlignment="1" applyProtection="1">
      <alignment horizontal="center" wrapText="1"/>
      <protection hidden="1"/>
    </xf>
    <xf numFmtId="0" fontId="2" fillId="0" borderId="5" xfId="0" applyFont="1" applyBorder="1" applyAlignment="1" applyProtection="1">
      <alignment horizontal="center" wrapText="1"/>
      <protection hidden="1"/>
    </xf>
    <xf numFmtId="0" fontId="2" fillId="0" borderId="15" xfId="0" applyFont="1" applyBorder="1" applyAlignment="1" applyProtection="1">
      <alignment horizontal="center" wrapText="1"/>
      <protection hidden="1"/>
    </xf>
    <xf numFmtId="0" fontId="2" fillId="0" borderId="0" xfId="0" applyFont="1" applyBorder="1" applyAlignment="1" applyProtection="1">
      <alignment horizontal="center" wrapText="1"/>
      <protection hidden="1"/>
    </xf>
    <xf numFmtId="0" fontId="2" fillId="0" borderId="7" xfId="0" applyFont="1" applyBorder="1" applyAlignment="1" applyProtection="1">
      <alignment horizontal="center" wrapText="1"/>
      <protection hidden="1"/>
    </xf>
    <xf numFmtId="0" fontId="2" fillId="0" borderId="16" xfId="0" applyFont="1" applyBorder="1" applyAlignment="1" applyProtection="1">
      <alignment horizontal="center" wrapText="1"/>
      <protection hidden="1"/>
    </xf>
    <xf numFmtId="0" fontId="2" fillId="0" borderId="29" xfId="0" applyFont="1" applyBorder="1" applyAlignment="1" applyProtection="1">
      <alignment horizontal="center" wrapText="1"/>
      <protection hidden="1"/>
    </xf>
    <xf numFmtId="0" fontId="2" fillId="0" borderId="9" xfId="0" applyFont="1" applyBorder="1" applyAlignment="1" applyProtection="1">
      <alignment horizontal="center" wrapText="1"/>
      <protection hidden="1"/>
    </xf>
    <xf numFmtId="3" fontId="33" fillId="47" borderId="66" xfId="3" applyNumberFormat="1" applyFont="1" applyFill="1" applyBorder="1" applyAlignment="1" applyProtection="1">
      <alignment horizontal="center"/>
      <protection hidden="1"/>
    </xf>
    <xf numFmtId="3" fontId="33" fillId="47" borderId="71" xfId="3" applyNumberFormat="1" applyFont="1" applyFill="1" applyBorder="1" applyAlignment="1" applyProtection="1">
      <alignment horizontal="center"/>
      <protection hidden="1"/>
    </xf>
    <xf numFmtId="3" fontId="71" fillId="47" borderId="70" xfId="0" applyNumberFormat="1" applyFont="1" applyFill="1" applyBorder="1" applyAlignment="1" applyProtection="1">
      <alignment horizontal="center"/>
      <protection hidden="1"/>
    </xf>
    <xf numFmtId="3" fontId="71" fillId="47" borderId="66" xfId="0" applyNumberFormat="1" applyFont="1" applyFill="1" applyBorder="1" applyAlignment="1" applyProtection="1">
      <alignment horizontal="center"/>
      <protection hidden="1"/>
    </xf>
    <xf numFmtId="0" fontId="10" fillId="0" borderId="23" xfId="0" applyFont="1" applyBorder="1" applyAlignment="1" applyProtection="1">
      <alignment horizontal="center" vertical="top"/>
      <protection hidden="1"/>
    </xf>
    <xf numFmtId="0" fontId="10" fillId="0" borderId="24" xfId="0" applyFont="1" applyBorder="1" applyAlignment="1" applyProtection="1">
      <alignment horizontal="center" vertical="top"/>
      <protection hidden="1"/>
    </xf>
    <xf numFmtId="0" fontId="0" fillId="43" borderId="14" xfId="0" applyFill="1" applyBorder="1" applyAlignment="1" applyProtection="1">
      <alignment horizontal="center"/>
      <protection hidden="1"/>
    </xf>
    <xf numFmtId="0" fontId="0" fillId="43" borderId="5" xfId="0" applyFill="1" applyBorder="1" applyAlignment="1" applyProtection="1">
      <alignment horizontal="center"/>
      <protection hidden="1"/>
    </xf>
    <xf numFmtId="0" fontId="0" fillId="43" borderId="15" xfId="0" applyFill="1" applyBorder="1" applyAlignment="1" applyProtection="1">
      <alignment horizontal="center"/>
      <protection hidden="1"/>
    </xf>
    <xf numFmtId="0" fontId="0" fillId="43" borderId="7" xfId="0" applyFill="1" applyBorder="1" applyAlignment="1" applyProtection="1">
      <alignment horizontal="center"/>
      <protection hidden="1"/>
    </xf>
    <xf numFmtId="0" fontId="0" fillId="43" borderId="16" xfId="0" applyFill="1" applyBorder="1" applyAlignment="1" applyProtection="1">
      <alignment horizontal="center"/>
      <protection hidden="1"/>
    </xf>
    <xf numFmtId="0" fontId="0" fillId="43" borderId="9" xfId="0" applyFill="1" applyBorder="1" applyAlignment="1" applyProtection="1">
      <alignment horizontal="center"/>
      <protection hidden="1"/>
    </xf>
    <xf numFmtId="0" fontId="20" fillId="20" borderId="14" xfId="0" applyFont="1" applyFill="1" applyBorder="1" applyAlignment="1" applyProtection="1">
      <alignment horizontal="center" vertical="center"/>
      <protection hidden="1"/>
    </xf>
    <xf numFmtId="0" fontId="20" fillId="20" borderId="5" xfId="0" applyFont="1" applyFill="1" applyBorder="1" applyAlignment="1" applyProtection="1">
      <alignment horizontal="center" vertical="center"/>
      <protection hidden="1"/>
    </xf>
    <xf numFmtId="0" fontId="20" fillId="20" borderId="16" xfId="0" applyFont="1" applyFill="1" applyBorder="1" applyAlignment="1" applyProtection="1">
      <alignment horizontal="center" vertical="center"/>
      <protection hidden="1"/>
    </xf>
    <xf numFmtId="0" fontId="20" fillId="20" borderId="9" xfId="0" applyFont="1" applyFill="1" applyBorder="1" applyAlignment="1" applyProtection="1">
      <alignment horizontal="center" vertical="center"/>
      <protection hidden="1"/>
    </xf>
    <xf numFmtId="0" fontId="0" fillId="0" borderId="0" xfId="0" applyAlignment="1" applyProtection="1">
      <alignment horizontal="left" vertical="center" wrapText="1"/>
      <protection locked="0"/>
    </xf>
    <xf numFmtId="0" fontId="15" fillId="45" borderId="17" xfId="0" applyFont="1" applyFill="1" applyBorder="1" applyAlignment="1" applyProtection="1">
      <alignment horizontal="center" vertical="center"/>
      <protection hidden="1"/>
    </xf>
    <xf numFmtId="0" fontId="15" fillId="45" borderId="16" xfId="0" applyFont="1" applyFill="1" applyBorder="1" applyAlignment="1" applyProtection="1">
      <alignment horizontal="center" vertical="center"/>
      <protection hidden="1"/>
    </xf>
    <xf numFmtId="3" fontId="33" fillId="47" borderId="68" xfId="3" applyNumberFormat="1" applyFont="1" applyFill="1" applyBorder="1" applyAlignment="1" applyProtection="1">
      <alignment horizontal="center"/>
      <protection hidden="1"/>
    </xf>
    <xf numFmtId="3" fontId="33" fillId="47" borderId="69" xfId="3" applyNumberFormat="1" applyFont="1" applyFill="1" applyBorder="1" applyAlignment="1" applyProtection="1">
      <alignment horizontal="center"/>
      <protection hidden="1"/>
    </xf>
    <xf numFmtId="0" fontId="20" fillId="16" borderId="14" xfId="0" applyFont="1" applyFill="1" applyBorder="1" applyAlignment="1" applyProtection="1">
      <alignment horizontal="center" vertical="center"/>
      <protection hidden="1"/>
    </xf>
    <xf numFmtId="0" fontId="20" fillId="16" borderId="5" xfId="0" applyFont="1" applyFill="1" applyBorder="1" applyAlignment="1" applyProtection="1">
      <alignment horizontal="center" vertical="center"/>
      <protection hidden="1"/>
    </xf>
    <xf numFmtId="0" fontId="20" fillId="16" borderId="16" xfId="0" applyFont="1" applyFill="1" applyBorder="1" applyAlignment="1" applyProtection="1">
      <alignment horizontal="center" vertical="center"/>
      <protection hidden="1"/>
    </xf>
    <xf numFmtId="0" fontId="20" fillId="16" borderId="9" xfId="0" applyFont="1" applyFill="1" applyBorder="1" applyAlignment="1" applyProtection="1">
      <alignment horizontal="center" vertical="center"/>
      <protection hidden="1"/>
    </xf>
    <xf numFmtId="0" fontId="59" fillId="30" borderId="22" xfId="0" applyFont="1" applyFill="1" applyBorder="1" applyAlignment="1" applyProtection="1">
      <alignment horizontal="center" vertical="center"/>
      <protection hidden="1"/>
    </xf>
    <xf numFmtId="0" fontId="59" fillId="30" borderId="23" xfId="0" applyFont="1" applyFill="1" applyBorder="1" applyAlignment="1" applyProtection="1">
      <alignment horizontal="center" vertical="center"/>
      <protection hidden="1"/>
    </xf>
    <xf numFmtId="0" fontId="59" fillId="30" borderId="24" xfId="0" applyFont="1" applyFill="1" applyBorder="1" applyAlignment="1" applyProtection="1">
      <alignment horizontal="center" vertical="center"/>
      <protection hidden="1"/>
    </xf>
    <xf numFmtId="0" fontId="20" fillId="19" borderId="31" xfId="0" applyFont="1" applyFill="1" applyBorder="1" applyAlignment="1" applyProtection="1">
      <alignment horizontal="center" vertical="center"/>
      <protection hidden="1"/>
    </xf>
    <xf numFmtId="0" fontId="20" fillId="19" borderId="32" xfId="0" applyFont="1" applyFill="1" applyBorder="1" applyAlignment="1" applyProtection="1">
      <alignment horizontal="center" vertical="center"/>
      <protection hidden="1"/>
    </xf>
    <xf numFmtId="0" fontId="20" fillId="16" borderId="30" xfId="0" applyFont="1" applyFill="1" applyBorder="1" applyAlignment="1" applyProtection="1">
      <alignment horizontal="center"/>
      <protection hidden="1"/>
    </xf>
    <xf numFmtId="0" fontId="20" fillId="20" borderId="30" xfId="0" applyFont="1" applyFill="1" applyBorder="1" applyAlignment="1" applyProtection="1">
      <alignment horizontal="center"/>
      <protection hidden="1"/>
    </xf>
    <xf numFmtId="0" fontId="20" fillId="0" borderId="21" xfId="0" applyFont="1" applyBorder="1" applyAlignment="1" applyProtection="1">
      <alignment horizontal="center" vertical="center"/>
      <protection hidden="1"/>
    </xf>
    <xf numFmtId="0" fontId="20" fillId="0" borderId="20" xfId="0" applyFont="1" applyBorder="1" applyAlignment="1" applyProtection="1">
      <alignment horizontal="center" vertical="center"/>
      <protection hidden="1"/>
    </xf>
    <xf numFmtId="0" fontId="20" fillId="0" borderId="1" xfId="0" applyFont="1" applyBorder="1" applyAlignment="1" applyProtection="1">
      <alignment horizontal="center" vertical="center"/>
      <protection hidden="1"/>
    </xf>
    <xf numFmtId="0" fontId="20" fillId="0" borderId="36" xfId="0" applyFont="1" applyBorder="1" applyAlignment="1" applyProtection="1">
      <alignment horizontal="center"/>
      <protection hidden="1"/>
    </xf>
    <xf numFmtId="0" fontId="20" fillId="0" borderId="12" xfId="0" applyFont="1" applyBorder="1" applyAlignment="1" applyProtection="1">
      <alignment horizontal="center"/>
      <protection hidden="1"/>
    </xf>
    <xf numFmtId="0" fontId="20" fillId="0" borderId="35" xfId="0" applyFont="1" applyBorder="1" applyAlignment="1" applyProtection="1">
      <alignment horizontal="center"/>
      <protection hidden="1"/>
    </xf>
    <xf numFmtId="0" fontId="20" fillId="0" borderId="79" xfId="0" applyFont="1" applyBorder="1" applyAlignment="1" applyProtection="1">
      <alignment horizontal="center"/>
      <protection hidden="1"/>
    </xf>
    <xf numFmtId="0" fontId="20" fillId="0" borderId="29" xfId="0" applyFont="1" applyBorder="1" applyAlignment="1" applyProtection="1">
      <alignment horizontal="center"/>
      <protection hidden="1"/>
    </xf>
    <xf numFmtId="0" fontId="20" fillId="0" borderId="80" xfId="0" applyFont="1" applyBorder="1" applyAlignment="1" applyProtection="1">
      <alignment horizontal="center"/>
      <protection hidden="1"/>
    </xf>
    <xf numFmtId="0" fontId="20" fillId="0" borderId="77" xfId="0" applyFont="1" applyBorder="1" applyAlignment="1" applyProtection="1">
      <alignment horizontal="center"/>
      <protection hidden="1"/>
    </xf>
    <xf numFmtId="0" fontId="20" fillId="0" borderId="9" xfId="0" applyFont="1" applyBorder="1" applyAlignment="1" applyProtection="1">
      <alignment horizontal="center"/>
      <protection hidden="1"/>
    </xf>
    <xf numFmtId="0" fontId="20" fillId="0" borderId="28" xfId="0" applyFont="1" applyBorder="1" applyAlignment="1" applyProtection="1">
      <alignment horizontal="center" vertical="center"/>
      <protection hidden="1"/>
    </xf>
    <xf numFmtId="0" fontId="20" fillId="15" borderId="19" xfId="0" applyFont="1" applyFill="1" applyBorder="1" applyAlignment="1" applyProtection="1">
      <alignment horizontal="center" vertical="center"/>
      <protection hidden="1"/>
    </xf>
    <xf numFmtId="0" fontId="20" fillId="15" borderId="5" xfId="0" applyFont="1" applyFill="1" applyBorder="1" applyAlignment="1" applyProtection="1">
      <alignment horizontal="center" vertical="center"/>
      <protection hidden="1"/>
    </xf>
    <xf numFmtId="0" fontId="20" fillId="15" borderId="29" xfId="0" applyFont="1" applyFill="1" applyBorder="1" applyAlignment="1" applyProtection="1">
      <alignment horizontal="center" vertical="center"/>
      <protection hidden="1"/>
    </xf>
    <xf numFmtId="0" fontId="20" fillId="15" borderId="9" xfId="0" applyFont="1" applyFill="1" applyBorder="1" applyAlignment="1" applyProtection="1">
      <alignment horizontal="center" vertical="center"/>
      <protection hidden="1"/>
    </xf>
    <xf numFmtId="0" fontId="20" fillId="20" borderId="33" xfId="0" applyFont="1" applyFill="1" applyBorder="1" applyAlignment="1" applyProtection="1">
      <alignment horizontal="center"/>
      <protection hidden="1"/>
    </xf>
    <xf numFmtId="0" fontId="15" fillId="7" borderId="32" xfId="0" applyFont="1" applyFill="1" applyBorder="1" applyAlignment="1" applyProtection="1">
      <alignment horizontal="center"/>
      <protection hidden="1"/>
    </xf>
    <xf numFmtId="0" fontId="15" fillId="7" borderId="30" xfId="0" applyFont="1" applyFill="1" applyBorder="1" applyAlignment="1" applyProtection="1">
      <alignment horizontal="center"/>
      <protection hidden="1"/>
    </xf>
    <xf numFmtId="0" fontId="15" fillId="7" borderId="33" xfId="0" applyFont="1" applyFill="1" applyBorder="1" applyAlignment="1" applyProtection="1">
      <alignment horizontal="center"/>
      <protection hidden="1"/>
    </xf>
    <xf numFmtId="0" fontId="2" fillId="17" borderId="20" xfId="0" applyFont="1" applyFill="1" applyBorder="1" applyAlignment="1" applyProtection="1">
      <alignment horizontal="center" vertical="center"/>
      <protection hidden="1"/>
    </xf>
    <xf numFmtId="0" fontId="2" fillId="17" borderId="1" xfId="0" applyFont="1" applyFill="1" applyBorder="1" applyAlignment="1" applyProtection="1">
      <alignment horizontal="center" vertical="center"/>
      <protection hidden="1"/>
    </xf>
    <xf numFmtId="0" fontId="2" fillId="18" borderId="35" xfId="0" applyFont="1" applyFill="1" applyBorder="1" applyAlignment="1" applyProtection="1">
      <alignment horizontal="center" vertical="center"/>
      <protection hidden="1"/>
    </xf>
    <xf numFmtId="0" fontId="2" fillId="18" borderId="13" xfId="0" applyFont="1" applyFill="1" applyBorder="1" applyAlignment="1" applyProtection="1">
      <alignment horizontal="center" vertical="center"/>
      <protection hidden="1"/>
    </xf>
    <xf numFmtId="3" fontId="2" fillId="17" borderId="1" xfId="0" applyNumberFormat="1" applyFont="1" applyFill="1" applyBorder="1" applyAlignment="1" applyProtection="1">
      <alignment horizontal="center" vertical="center"/>
      <protection hidden="1"/>
    </xf>
    <xf numFmtId="3" fontId="2" fillId="17" borderId="28" xfId="0" applyNumberFormat="1" applyFont="1" applyFill="1" applyBorder="1" applyAlignment="1" applyProtection="1">
      <alignment horizontal="center" vertical="center"/>
      <protection hidden="1"/>
    </xf>
    <xf numFmtId="3" fontId="2" fillId="18" borderId="13" xfId="0" applyNumberFormat="1" applyFont="1" applyFill="1" applyBorder="1" applyAlignment="1" applyProtection="1">
      <alignment horizontal="center" vertical="center"/>
      <protection hidden="1"/>
    </xf>
    <xf numFmtId="3" fontId="2" fillId="18" borderId="34" xfId="0" applyNumberFormat="1" applyFont="1" applyFill="1" applyBorder="1" applyAlignment="1" applyProtection="1">
      <alignment horizontal="center" vertical="center"/>
      <protection hidden="1"/>
    </xf>
    <xf numFmtId="0" fontId="0" fillId="8" borderId="22" xfId="0" applyFill="1" applyBorder="1" applyAlignment="1" applyProtection="1">
      <alignment horizontal="center"/>
      <protection locked="0"/>
    </xf>
    <xf numFmtId="0" fontId="0" fillId="8" borderId="23" xfId="0" applyFill="1" applyBorder="1" applyAlignment="1" applyProtection="1">
      <alignment horizontal="center"/>
      <protection locked="0"/>
    </xf>
    <xf numFmtId="0" fontId="0" fillId="8" borderId="24" xfId="0" applyFill="1" applyBorder="1" applyAlignment="1" applyProtection="1">
      <alignment horizontal="center"/>
      <protection locked="0"/>
    </xf>
    <xf numFmtId="0" fontId="0" fillId="8" borderId="22" xfId="0" applyFill="1" applyBorder="1" applyAlignment="1" applyProtection="1">
      <alignment horizontal="center"/>
      <protection hidden="1"/>
    </xf>
    <xf numFmtId="0" fontId="0" fillId="8" borderId="24" xfId="0" applyFill="1" applyBorder="1" applyAlignment="1" applyProtection="1">
      <alignment horizontal="center"/>
      <protection hidden="1"/>
    </xf>
    <xf numFmtId="0" fontId="2" fillId="6" borderId="22" xfId="0" applyFont="1" applyFill="1" applyBorder="1" applyAlignment="1" applyProtection="1">
      <alignment horizontal="center"/>
      <protection hidden="1"/>
    </xf>
    <xf numFmtId="0" fontId="2" fillId="6" borderId="23" xfId="0" applyFont="1" applyFill="1" applyBorder="1" applyAlignment="1" applyProtection="1">
      <alignment horizontal="center"/>
      <protection hidden="1"/>
    </xf>
    <xf numFmtId="0" fontId="2" fillId="6" borderId="24" xfId="0" applyFont="1" applyFill="1" applyBorder="1" applyAlignment="1" applyProtection="1">
      <alignment horizontal="center"/>
      <protection hidden="1"/>
    </xf>
    <xf numFmtId="0" fontId="67" fillId="8" borderId="30" xfId="0" applyFont="1" applyFill="1" applyBorder="1" applyAlignment="1" applyProtection="1">
      <alignment horizontal="center" vertical="center"/>
      <protection hidden="1"/>
    </xf>
    <xf numFmtId="0" fontId="56" fillId="0" borderId="21" xfId="0" applyFont="1" applyBorder="1" applyAlignment="1" applyProtection="1">
      <alignment horizontal="center" vertical="center"/>
      <protection hidden="1"/>
    </xf>
    <xf numFmtId="0" fontId="56" fillId="0" borderId="25" xfId="0" applyFont="1" applyBorder="1" applyAlignment="1" applyProtection="1">
      <alignment horizontal="center" vertical="center"/>
      <protection hidden="1"/>
    </xf>
    <xf numFmtId="0" fontId="27" fillId="9" borderId="30" xfId="0" applyFont="1" applyFill="1" applyBorder="1" applyAlignment="1" applyProtection="1">
      <alignment horizontal="center" vertical="center"/>
      <protection hidden="1"/>
    </xf>
    <xf numFmtId="0" fontId="2" fillId="6" borderId="1" xfId="0" applyFont="1" applyFill="1" applyBorder="1" applyAlignment="1" applyProtection="1">
      <alignment horizontal="center" vertical="center"/>
      <protection hidden="1"/>
    </xf>
    <xf numFmtId="0" fontId="2" fillId="6" borderId="21" xfId="0" applyFont="1" applyFill="1" applyBorder="1" applyAlignment="1" applyProtection="1">
      <alignment horizontal="center" vertical="center"/>
      <protection hidden="1"/>
    </xf>
    <xf numFmtId="0" fontId="20" fillId="7" borderId="30" xfId="0" applyFont="1" applyFill="1" applyBorder="1" applyAlignment="1" applyProtection="1">
      <alignment horizontal="center" vertical="center"/>
      <protection hidden="1"/>
    </xf>
    <xf numFmtId="2" fontId="31" fillId="21" borderId="1" xfId="0" applyNumberFormat="1" applyFont="1" applyFill="1" applyBorder="1" applyAlignment="1" applyProtection="1">
      <alignment horizontal="center" vertical="center"/>
      <protection hidden="1"/>
    </xf>
    <xf numFmtId="0" fontId="31" fillId="21" borderId="1" xfId="0" applyFont="1" applyFill="1" applyBorder="1" applyAlignment="1" applyProtection="1">
      <alignment horizontal="center" vertical="center"/>
      <protection hidden="1"/>
    </xf>
    <xf numFmtId="0" fontId="20" fillId="0" borderId="44" xfId="0" applyFont="1" applyBorder="1" applyAlignment="1" applyProtection="1">
      <alignment horizontal="center" vertical="center"/>
      <protection hidden="1"/>
    </xf>
    <xf numFmtId="0" fontId="20" fillId="0" borderId="78" xfId="0" applyFont="1" applyBorder="1" applyAlignment="1" applyProtection="1">
      <alignment horizontal="center" vertical="center"/>
      <protection hidden="1"/>
    </xf>
    <xf numFmtId="0" fontId="20" fillId="19" borderId="21" xfId="0" applyFont="1" applyFill="1" applyBorder="1" applyAlignment="1" applyProtection="1">
      <alignment horizontal="center" vertical="center"/>
      <protection hidden="1"/>
    </xf>
    <xf numFmtId="0" fontId="20" fillId="19" borderId="20" xfId="0" applyFont="1" applyFill="1" applyBorder="1" applyAlignment="1" applyProtection="1">
      <alignment horizontal="center" vertical="center"/>
      <protection hidden="1"/>
    </xf>
    <xf numFmtId="0" fontId="20" fillId="16" borderId="31" xfId="0" applyFont="1" applyFill="1" applyBorder="1" applyAlignment="1" applyProtection="1">
      <alignment horizontal="center"/>
      <protection hidden="1"/>
    </xf>
    <xf numFmtId="0" fontId="20" fillId="16" borderId="32" xfId="0" applyFont="1" applyFill="1" applyBorder="1" applyAlignment="1" applyProtection="1">
      <alignment horizontal="center"/>
      <protection hidden="1"/>
    </xf>
    <xf numFmtId="0" fontId="15" fillId="41" borderId="37" xfId="0" applyFont="1" applyFill="1" applyBorder="1" applyAlignment="1" applyProtection="1">
      <alignment horizontal="left" indent="11"/>
      <protection hidden="1"/>
    </xf>
    <xf numFmtId="0" fontId="15" fillId="41" borderId="54" xfId="0" applyFont="1" applyFill="1" applyBorder="1" applyAlignment="1" applyProtection="1">
      <alignment horizontal="left" indent="11"/>
      <protection hidden="1"/>
    </xf>
    <xf numFmtId="3" fontId="62" fillId="0" borderId="53" xfId="0" applyNumberFormat="1" applyFont="1" applyBorder="1" applyAlignment="1" applyProtection="1">
      <alignment horizontal="center"/>
      <protection hidden="1"/>
    </xf>
    <xf numFmtId="3" fontId="24" fillId="0" borderId="53" xfId="0" applyNumberFormat="1" applyFont="1" applyBorder="1" applyAlignment="1" applyProtection="1">
      <alignment horizontal="center"/>
      <protection hidden="1"/>
    </xf>
    <xf numFmtId="3" fontId="24" fillId="0" borderId="38" xfId="0" applyNumberFormat="1" applyFont="1" applyBorder="1" applyAlignment="1" applyProtection="1">
      <alignment horizontal="center"/>
      <protection hidden="1"/>
    </xf>
    <xf numFmtId="0" fontId="15" fillId="37" borderId="14" xfId="0" applyFont="1" applyFill="1" applyBorder="1" applyAlignment="1" applyProtection="1">
      <alignment horizontal="center" vertical="center"/>
      <protection locked="0"/>
    </xf>
    <xf numFmtId="0" fontId="15" fillId="37" borderId="15" xfId="0" applyFont="1" applyFill="1" applyBorder="1" applyAlignment="1" applyProtection="1">
      <alignment horizontal="center" vertical="center"/>
      <protection locked="0"/>
    </xf>
    <xf numFmtId="0" fontId="61" fillId="37" borderId="61" xfId="0" applyFont="1" applyFill="1" applyBorder="1" applyAlignment="1" applyProtection="1">
      <alignment horizontal="center"/>
      <protection hidden="1"/>
    </xf>
    <xf numFmtId="0" fontId="61" fillId="37" borderId="62" xfId="0" applyFont="1" applyFill="1" applyBorder="1" applyAlignment="1" applyProtection="1">
      <alignment horizontal="center"/>
      <protection hidden="1"/>
    </xf>
    <xf numFmtId="0" fontId="22" fillId="38" borderId="31" xfId="0" applyFont="1" applyFill="1" applyBorder="1" applyAlignment="1" applyProtection="1">
      <alignment horizontal="center"/>
      <protection hidden="1"/>
    </xf>
    <xf numFmtId="0" fontId="22" fillId="38" borderId="63" xfId="0" applyFont="1" applyFill="1" applyBorder="1" applyAlignment="1" applyProtection="1">
      <alignment horizontal="center"/>
      <protection hidden="1"/>
    </xf>
    <xf numFmtId="0" fontId="22" fillId="38" borderId="21" xfId="0" applyFont="1" applyFill="1" applyBorder="1" applyAlignment="1" applyProtection="1">
      <alignment horizontal="center"/>
      <protection hidden="1"/>
    </xf>
    <xf numFmtId="0" fontId="22" fillId="38" borderId="55" xfId="0" applyFont="1" applyFill="1" applyBorder="1" applyAlignment="1" applyProtection="1">
      <alignment horizontal="center"/>
      <protection hidden="1"/>
    </xf>
    <xf numFmtId="0" fontId="22" fillId="38" borderId="45" xfId="0" applyFont="1" applyFill="1" applyBorder="1" applyAlignment="1" applyProtection="1">
      <alignment horizontal="center"/>
      <protection hidden="1"/>
    </xf>
    <xf numFmtId="0" fontId="22" fillId="38" borderId="64" xfId="0" applyFont="1" applyFill="1" applyBorder="1" applyAlignment="1" applyProtection="1">
      <alignment horizontal="center"/>
      <protection hidden="1"/>
    </xf>
    <xf numFmtId="0" fontId="63" fillId="40" borderId="17" xfId="0" applyFont="1" applyFill="1" applyBorder="1" applyAlignment="1" applyProtection="1">
      <alignment horizontal="center" vertical="center"/>
      <protection hidden="1"/>
    </xf>
    <xf numFmtId="0" fontId="63" fillId="40" borderId="18" xfId="0" applyFont="1" applyFill="1" applyBorder="1" applyAlignment="1" applyProtection="1">
      <alignment horizontal="center" vertical="center"/>
      <protection hidden="1"/>
    </xf>
    <xf numFmtId="0" fontId="61" fillId="37" borderId="59" xfId="0" applyFont="1" applyFill="1" applyBorder="1" applyAlignment="1" applyProtection="1">
      <alignment horizontal="center"/>
      <protection hidden="1"/>
    </xf>
    <xf numFmtId="0" fontId="61" fillId="37" borderId="32" xfId="0" applyFont="1" applyFill="1" applyBorder="1" applyAlignment="1" applyProtection="1">
      <alignment horizontal="center"/>
      <protection hidden="1"/>
    </xf>
    <xf numFmtId="0" fontId="61" fillId="37" borderId="60" xfId="0" applyFont="1" applyFill="1" applyBorder="1" applyAlignment="1" applyProtection="1">
      <alignment horizontal="center"/>
      <protection hidden="1"/>
    </xf>
    <xf numFmtId="0" fontId="61" fillId="37" borderId="20" xfId="0" applyFont="1" applyFill="1" applyBorder="1" applyAlignment="1" applyProtection="1">
      <alignment horizontal="center"/>
      <protection hidden="1"/>
    </xf>
    <xf numFmtId="0" fontId="20" fillId="16" borderId="22" xfId="0" applyFont="1" applyFill="1" applyBorder="1" applyAlignment="1" applyProtection="1">
      <alignment horizontal="center" vertical="center"/>
      <protection hidden="1"/>
    </xf>
    <xf numFmtId="0" fontId="20" fillId="16" borderId="23" xfId="0" applyFont="1" applyFill="1" applyBorder="1" applyAlignment="1" applyProtection="1">
      <alignment horizontal="center" vertical="center"/>
      <protection hidden="1"/>
    </xf>
    <xf numFmtId="0" fontId="20" fillId="16" borderId="65" xfId="0" applyFont="1" applyFill="1" applyBorder="1" applyAlignment="1" applyProtection="1">
      <alignment horizontal="center" vertical="center"/>
      <protection hidden="1"/>
    </xf>
    <xf numFmtId="0" fontId="20" fillId="20" borderId="22" xfId="0" applyFont="1" applyFill="1" applyBorder="1" applyAlignment="1" applyProtection="1">
      <alignment horizontal="center" vertical="center"/>
      <protection hidden="1"/>
    </xf>
    <xf numFmtId="0" fontId="20" fillId="20" borderId="23" xfId="0" applyFont="1" applyFill="1" applyBorder="1" applyAlignment="1" applyProtection="1">
      <alignment horizontal="center" vertical="center"/>
      <protection hidden="1"/>
    </xf>
    <xf numFmtId="3" fontId="71" fillId="47" borderId="67" xfId="0" applyNumberFormat="1" applyFont="1" applyFill="1" applyBorder="1" applyAlignment="1" applyProtection="1">
      <alignment horizontal="center"/>
      <protection hidden="1"/>
    </xf>
    <xf numFmtId="3" fontId="71" fillId="47" borderId="68" xfId="0" applyNumberFormat="1" applyFont="1" applyFill="1" applyBorder="1" applyAlignment="1" applyProtection="1">
      <alignment horizontal="center"/>
      <protection hidden="1"/>
    </xf>
    <xf numFmtId="3" fontId="71" fillId="47" borderId="72" xfId="0" applyNumberFormat="1" applyFont="1" applyFill="1" applyBorder="1" applyAlignment="1" applyProtection="1">
      <alignment horizontal="center"/>
      <protection hidden="1"/>
    </xf>
    <xf numFmtId="3" fontId="71" fillId="47" borderId="73" xfId="0" applyNumberFormat="1" applyFont="1" applyFill="1" applyBorder="1" applyAlignment="1" applyProtection="1">
      <alignment horizontal="center"/>
      <protection hidden="1"/>
    </xf>
    <xf numFmtId="3" fontId="33" fillId="47" borderId="73" xfId="3" applyNumberFormat="1" applyFont="1" applyFill="1" applyBorder="1" applyAlignment="1" applyProtection="1">
      <alignment horizontal="center"/>
      <protection hidden="1"/>
    </xf>
    <xf numFmtId="3" fontId="33" fillId="47" borderId="74" xfId="3" applyNumberFormat="1" applyFont="1" applyFill="1" applyBorder="1" applyAlignment="1" applyProtection="1">
      <alignment horizontal="center"/>
      <protection hidden="1"/>
    </xf>
    <xf numFmtId="0" fontId="0" fillId="0" borderId="0" xfId="0" applyProtection="1">
      <protection locked="0"/>
    </xf>
    <xf numFmtId="0" fontId="8" fillId="4" borderId="19" xfId="3" applyBorder="1" applyAlignment="1" applyProtection="1">
      <alignment horizontal="center"/>
      <protection locked="0"/>
    </xf>
    <xf numFmtId="0" fontId="7" fillId="3" borderId="0" xfId="2" applyBorder="1" applyAlignment="1" applyProtection="1">
      <alignment horizontal="center"/>
      <protection locked="0"/>
    </xf>
    <xf numFmtId="0" fontId="31" fillId="32" borderId="22" xfId="0" applyFont="1" applyFill="1" applyBorder="1" applyAlignment="1" applyProtection="1">
      <alignment horizontal="center" wrapText="1"/>
      <protection locked="0"/>
    </xf>
    <xf numFmtId="0" fontId="31" fillId="32" borderId="23" xfId="0" applyFont="1" applyFill="1" applyBorder="1" applyAlignment="1" applyProtection="1">
      <alignment horizontal="center" wrapText="1"/>
      <protection locked="0"/>
    </xf>
    <xf numFmtId="0" fontId="31" fillId="32" borderId="24" xfId="0" applyFont="1" applyFill="1" applyBorder="1" applyAlignment="1" applyProtection="1">
      <alignment horizontal="center" wrapText="1"/>
      <protection locked="0"/>
    </xf>
    <xf numFmtId="0" fontId="22" fillId="36" borderId="17" xfId="0" applyFont="1" applyFill="1" applyBorder="1" applyAlignment="1" applyProtection="1">
      <alignment horizontal="center" vertical="center"/>
      <protection hidden="1"/>
    </xf>
    <xf numFmtId="0" fontId="22" fillId="36" borderId="18" xfId="0" applyFont="1" applyFill="1" applyBorder="1" applyAlignment="1" applyProtection="1">
      <alignment horizontal="center" vertical="center"/>
      <protection hidden="1"/>
    </xf>
    <xf numFmtId="0" fontId="37" fillId="24" borderId="14" xfId="0" applyFont="1" applyFill="1" applyBorder="1" applyAlignment="1" applyProtection="1">
      <alignment horizontal="center" vertical="center"/>
      <protection hidden="1"/>
    </xf>
    <xf numFmtId="0" fontId="37" fillId="24" borderId="5" xfId="0" applyFont="1" applyFill="1" applyBorder="1" applyAlignment="1" applyProtection="1">
      <alignment horizontal="center" vertical="center"/>
      <protection hidden="1"/>
    </xf>
    <xf numFmtId="0" fontId="37" fillId="24" borderId="16" xfId="0" applyFont="1" applyFill="1" applyBorder="1" applyAlignment="1" applyProtection="1">
      <alignment horizontal="center" vertical="center"/>
      <protection hidden="1"/>
    </xf>
    <xf numFmtId="0" fontId="37" fillId="24" borderId="9" xfId="0" applyFont="1" applyFill="1" applyBorder="1" applyAlignment="1" applyProtection="1">
      <alignment horizontal="center" vertical="center"/>
      <protection hidden="1"/>
    </xf>
    <xf numFmtId="0" fontId="25" fillId="24" borderId="23" xfId="0" applyFont="1" applyFill="1" applyBorder="1" applyAlignment="1" applyProtection="1">
      <alignment horizontal="center" vertical="center"/>
      <protection hidden="1"/>
    </xf>
    <xf numFmtId="0" fontId="25" fillId="24" borderId="24" xfId="0" applyFont="1" applyFill="1" applyBorder="1" applyAlignment="1" applyProtection="1">
      <alignment horizontal="center" vertical="center"/>
      <protection hidden="1"/>
    </xf>
    <xf numFmtId="0" fontId="36" fillId="24" borderId="14" xfId="0" applyFont="1" applyFill="1" applyBorder="1" applyAlignment="1" applyProtection="1">
      <alignment horizontal="center" vertical="center"/>
      <protection hidden="1"/>
    </xf>
    <xf numFmtId="0" fontId="36" fillId="24" borderId="5" xfId="0" applyFont="1" applyFill="1" applyBorder="1" applyAlignment="1" applyProtection="1">
      <alignment horizontal="center" vertical="center"/>
      <protection hidden="1"/>
    </xf>
    <xf numFmtId="0" fontId="36" fillId="24" borderId="16" xfId="0" applyFont="1" applyFill="1" applyBorder="1" applyAlignment="1" applyProtection="1">
      <alignment horizontal="center" vertical="center"/>
      <protection hidden="1"/>
    </xf>
    <xf numFmtId="0" fontId="36" fillId="24" borderId="9" xfId="0" applyFont="1" applyFill="1" applyBorder="1" applyAlignment="1" applyProtection="1">
      <alignment horizontal="center" vertical="center"/>
      <protection hidden="1"/>
    </xf>
    <xf numFmtId="0" fontId="20" fillId="26" borderId="14" xfId="0" applyFont="1" applyFill="1" applyBorder="1" applyAlignment="1" applyProtection="1">
      <alignment horizontal="center" vertical="center"/>
      <protection hidden="1"/>
    </xf>
    <xf numFmtId="0" fontId="20" fillId="26" borderId="19" xfId="0" applyFont="1" applyFill="1" applyBorder="1" applyAlignment="1" applyProtection="1">
      <alignment horizontal="center" vertical="center"/>
      <protection hidden="1"/>
    </xf>
    <xf numFmtId="0" fontId="20" fillId="26" borderId="5" xfId="0" applyFont="1" applyFill="1" applyBorder="1" applyAlignment="1" applyProtection="1">
      <alignment horizontal="center" vertical="center"/>
      <protection hidden="1"/>
    </xf>
    <xf numFmtId="0" fontId="20" fillId="26" borderId="16" xfId="0" applyFont="1" applyFill="1" applyBorder="1" applyAlignment="1" applyProtection="1">
      <alignment horizontal="center" vertical="center"/>
      <protection hidden="1"/>
    </xf>
    <xf numFmtId="0" fontId="20" fillId="26" borderId="29" xfId="0" applyFont="1" applyFill="1" applyBorder="1" applyAlignment="1" applyProtection="1">
      <alignment horizontal="center" vertical="center"/>
      <protection hidden="1"/>
    </xf>
    <xf numFmtId="0" fontId="20" fillId="26" borderId="9" xfId="0" applyFont="1" applyFill="1" applyBorder="1" applyAlignment="1" applyProtection="1">
      <alignment horizontal="center" vertical="center"/>
      <protection hidden="1"/>
    </xf>
    <xf numFmtId="0" fontId="0" fillId="0" borderId="0" xfId="0" applyAlignment="1" applyProtection="1">
      <alignment horizontal="center"/>
      <protection locked="0"/>
    </xf>
    <xf numFmtId="0" fontId="15" fillId="25" borderId="17" xfId="0" applyFont="1" applyFill="1" applyBorder="1" applyAlignment="1" applyProtection="1">
      <alignment horizontal="center" vertical="center"/>
      <protection hidden="1"/>
    </xf>
    <xf numFmtId="0" fontId="15" fillId="25" borderId="18" xfId="0" applyFont="1" applyFill="1" applyBorder="1" applyAlignment="1" applyProtection="1">
      <alignment horizontal="center" vertical="center"/>
      <protection hidden="1"/>
    </xf>
    <xf numFmtId="0" fontId="34" fillId="28" borderId="17" xfId="0" applyFont="1" applyFill="1" applyBorder="1" applyAlignment="1" applyProtection="1">
      <alignment horizontal="center" vertical="center"/>
      <protection hidden="1"/>
    </xf>
    <xf numFmtId="0" fontId="34" fillId="28" borderId="18" xfId="0" applyFont="1" applyFill="1" applyBorder="1" applyAlignment="1" applyProtection="1">
      <alignment horizontal="center" vertical="center"/>
      <protection hidden="1"/>
    </xf>
    <xf numFmtId="0" fontId="21" fillId="0" borderId="14" xfId="0" applyFont="1" applyBorder="1" applyAlignment="1" applyProtection="1">
      <alignment horizontal="center" vertical="center"/>
      <protection hidden="1"/>
    </xf>
    <xf numFmtId="0" fontId="21" fillId="0" borderId="5" xfId="0" applyFont="1" applyBorder="1" applyAlignment="1" applyProtection="1">
      <alignment horizontal="center" vertical="center"/>
      <protection hidden="1"/>
    </xf>
    <xf numFmtId="0" fontId="21" fillId="0" borderId="15" xfId="0" applyFont="1" applyBorder="1" applyAlignment="1" applyProtection="1">
      <alignment horizontal="center" vertical="center"/>
      <protection hidden="1"/>
    </xf>
    <xf numFmtId="0" fontId="21" fillId="0" borderId="7" xfId="0" applyFont="1" applyBorder="1" applyAlignment="1" applyProtection="1">
      <alignment horizontal="center" vertical="center"/>
      <protection hidden="1"/>
    </xf>
    <xf numFmtId="0" fontId="21" fillId="0" borderId="16" xfId="0" applyFont="1" applyBorder="1" applyAlignment="1" applyProtection="1">
      <alignment horizontal="center" vertical="center"/>
      <protection hidden="1"/>
    </xf>
    <xf numFmtId="0" fontId="21" fillId="0" borderId="9" xfId="0" applyFont="1" applyBorder="1" applyAlignment="1" applyProtection="1">
      <alignment horizontal="center" vertical="center"/>
      <protection hidden="1"/>
    </xf>
    <xf numFmtId="0" fontId="21" fillId="0" borderId="19" xfId="0" applyFont="1" applyBorder="1" applyAlignment="1" applyProtection="1">
      <alignment horizontal="center" vertical="center"/>
      <protection hidden="1"/>
    </xf>
    <xf numFmtId="0" fontId="21" fillId="0" borderId="0" xfId="0" applyFont="1" applyBorder="1" applyAlignment="1" applyProtection="1">
      <alignment horizontal="center" vertical="center"/>
      <protection hidden="1"/>
    </xf>
    <xf numFmtId="0" fontId="21" fillId="0" borderId="29" xfId="0" applyFont="1" applyBorder="1" applyAlignment="1" applyProtection="1">
      <alignment horizontal="center" vertical="center"/>
      <protection hidden="1"/>
    </xf>
    <xf numFmtId="0" fontId="25" fillId="8" borderId="4" xfId="0" applyFont="1" applyFill="1" applyBorder="1" applyAlignment="1" applyProtection="1">
      <alignment horizontal="center"/>
      <protection hidden="1"/>
    </xf>
    <xf numFmtId="0" fontId="25" fillId="8" borderId="30" xfId="0" applyFont="1" applyFill="1" applyBorder="1" applyAlignment="1" applyProtection="1">
      <alignment horizontal="center"/>
      <protection hidden="1"/>
    </xf>
    <xf numFmtId="0" fontId="26" fillId="8" borderId="6" xfId="0" applyFont="1" applyFill="1" applyBorder="1" applyAlignment="1" applyProtection="1">
      <alignment horizontal="center" vertical="center"/>
      <protection hidden="1"/>
    </xf>
    <xf numFmtId="0" fontId="26" fillId="8" borderId="1" xfId="0" applyFont="1" applyFill="1" applyBorder="1" applyAlignment="1" applyProtection="1">
      <alignment horizontal="center" vertical="center"/>
      <protection hidden="1"/>
    </xf>
    <xf numFmtId="0" fontId="26" fillId="8" borderId="8" xfId="0" applyFont="1" applyFill="1" applyBorder="1" applyAlignment="1" applyProtection="1">
      <alignment horizontal="center" vertical="center"/>
      <protection hidden="1"/>
    </xf>
    <xf numFmtId="0" fontId="26" fillId="8" borderId="41" xfId="0" applyFont="1" applyFill="1" applyBorder="1" applyAlignment="1" applyProtection="1">
      <alignment horizontal="center" vertical="center"/>
      <protection hidden="1"/>
    </xf>
    <xf numFmtId="0" fontId="23" fillId="8" borderId="14" xfId="0" applyFont="1" applyFill="1" applyBorder="1" applyAlignment="1" applyProtection="1">
      <alignment horizontal="center" vertical="center"/>
      <protection hidden="1"/>
    </xf>
    <xf numFmtId="0" fontId="23" fillId="8" borderId="19" xfId="0" applyFont="1" applyFill="1" applyBorder="1" applyAlignment="1" applyProtection="1">
      <alignment horizontal="center" vertical="center"/>
      <protection hidden="1"/>
    </xf>
    <xf numFmtId="0" fontId="23" fillId="8" borderId="15" xfId="0" applyFont="1" applyFill="1" applyBorder="1" applyAlignment="1" applyProtection="1">
      <alignment horizontal="center" vertical="center"/>
      <protection hidden="1"/>
    </xf>
    <xf numFmtId="0" fontId="23" fillId="8" borderId="0" xfId="0" applyFont="1" applyFill="1" applyBorder="1" applyAlignment="1" applyProtection="1">
      <alignment horizontal="center" vertical="center"/>
      <protection hidden="1"/>
    </xf>
    <xf numFmtId="0" fontId="23" fillId="8" borderId="16" xfId="0" applyFont="1" applyFill="1" applyBorder="1" applyAlignment="1" applyProtection="1">
      <alignment horizontal="center" vertical="center"/>
      <protection hidden="1"/>
    </xf>
    <xf numFmtId="0" fontId="23" fillId="8" borderId="29" xfId="0" applyFont="1" applyFill="1" applyBorder="1" applyAlignment="1" applyProtection="1">
      <alignment horizontal="center" vertical="center"/>
      <protection hidden="1"/>
    </xf>
    <xf numFmtId="0" fontId="0" fillId="0" borderId="19" xfId="0" applyBorder="1" applyAlignment="1">
      <alignment horizontal="center"/>
    </xf>
    <xf numFmtId="0" fontId="21" fillId="49" borderId="14" xfId="0" applyFont="1" applyFill="1" applyBorder="1" applyAlignment="1" applyProtection="1">
      <alignment horizontal="center" vertical="center"/>
      <protection hidden="1"/>
    </xf>
    <xf numFmtId="0" fontId="21" fillId="49" borderId="19" xfId="0" applyFont="1" applyFill="1" applyBorder="1" applyAlignment="1" applyProtection="1">
      <alignment horizontal="center" vertical="center"/>
      <protection hidden="1"/>
    </xf>
    <xf numFmtId="0" fontId="21" fillId="49" borderId="5" xfId="0" applyFont="1" applyFill="1" applyBorder="1" applyAlignment="1" applyProtection="1">
      <alignment horizontal="center" vertical="center"/>
      <protection hidden="1"/>
    </xf>
    <xf numFmtId="0" fontId="21" fillId="49" borderId="16" xfId="0" applyFont="1" applyFill="1" applyBorder="1" applyAlignment="1" applyProtection="1">
      <alignment horizontal="center" vertical="center"/>
      <protection hidden="1"/>
    </xf>
    <xf numFmtId="0" fontId="21" fillId="49" borderId="29" xfId="0" applyFont="1" applyFill="1" applyBorder="1" applyAlignment="1" applyProtection="1">
      <alignment horizontal="center" vertical="center"/>
      <protection hidden="1"/>
    </xf>
    <xf numFmtId="0" fontId="21" fillId="49" borderId="9" xfId="0" applyFont="1" applyFill="1" applyBorder="1" applyAlignment="1" applyProtection="1">
      <alignment horizontal="center" vertical="center"/>
      <protection hidden="1"/>
    </xf>
    <xf numFmtId="0" fontId="27" fillId="0" borderId="82" xfId="0" applyFont="1" applyBorder="1" applyAlignment="1" applyProtection="1">
      <alignment horizontal="center" vertical="center"/>
      <protection hidden="1"/>
    </xf>
    <xf numFmtId="0" fontId="27" fillId="0" borderId="83" xfId="0" applyFont="1" applyBorder="1" applyAlignment="1" applyProtection="1">
      <alignment horizontal="center" vertical="center"/>
      <protection hidden="1"/>
    </xf>
    <xf numFmtId="0" fontId="27" fillId="0" borderId="60" xfId="0" applyFont="1" applyBorder="1" applyAlignment="1" applyProtection="1">
      <alignment horizontal="center" vertical="center"/>
      <protection hidden="1"/>
    </xf>
    <xf numFmtId="0" fontId="27" fillId="0" borderId="20" xfId="0" applyFont="1" applyBorder="1" applyAlignment="1" applyProtection="1">
      <alignment horizontal="center" vertical="center"/>
      <protection hidden="1"/>
    </xf>
    <xf numFmtId="0" fontId="73" fillId="0" borderId="60" xfId="0" applyFont="1" applyBorder="1" applyAlignment="1" applyProtection="1">
      <alignment horizontal="center" vertical="center"/>
      <protection hidden="1"/>
    </xf>
    <xf numFmtId="0" fontId="73" fillId="0" borderId="20" xfId="0" applyFont="1" applyBorder="1" applyAlignment="1" applyProtection="1">
      <alignment horizontal="center" vertical="center"/>
      <protection hidden="1"/>
    </xf>
    <xf numFmtId="0" fontId="73" fillId="0" borderId="8" xfId="0" applyFont="1" applyBorder="1" applyAlignment="1" applyProtection="1">
      <alignment horizontal="center" vertical="center"/>
      <protection hidden="1"/>
    </xf>
    <xf numFmtId="0" fontId="73" fillId="0" borderId="41" xfId="0" applyFont="1" applyBorder="1" applyAlignment="1" applyProtection="1">
      <alignment horizontal="center" vertical="center"/>
      <protection hidden="1"/>
    </xf>
    <xf numFmtId="0" fontId="27" fillId="0" borderId="84" xfId="0" applyFont="1" applyBorder="1" applyAlignment="1" applyProtection="1">
      <alignment horizontal="center" vertical="center"/>
      <protection locked="0" hidden="1"/>
    </xf>
    <xf numFmtId="0" fontId="27" fillId="0" borderId="85" xfId="0" applyFont="1" applyBorder="1" applyAlignment="1" applyProtection="1">
      <alignment horizontal="center" vertical="center"/>
      <protection locked="0" hidden="1"/>
    </xf>
    <xf numFmtId="0" fontId="27" fillId="0" borderId="21" xfId="0" applyFont="1" applyBorder="1" applyAlignment="1" applyProtection="1">
      <alignment horizontal="center" vertical="center"/>
      <protection locked="0" hidden="1"/>
    </xf>
    <xf numFmtId="0" fontId="27" fillId="0" borderId="55" xfId="0" applyFont="1" applyBorder="1" applyAlignment="1" applyProtection="1">
      <alignment horizontal="center" vertical="center"/>
      <protection locked="0" hidden="1"/>
    </xf>
    <xf numFmtId="0" fontId="27" fillId="0" borderId="41" xfId="0" applyFont="1" applyBorder="1" applyAlignment="1" applyProtection="1">
      <alignment horizontal="center" vertical="center"/>
      <protection locked="0" hidden="1"/>
    </xf>
    <xf numFmtId="0" fontId="27" fillId="0" borderId="46" xfId="0" applyFont="1" applyBorder="1" applyAlignment="1" applyProtection="1">
      <alignment horizontal="center" vertical="center"/>
      <protection locked="0" hidden="1"/>
    </xf>
    <xf numFmtId="0" fontId="14" fillId="31" borderId="1" xfId="3" applyFont="1" applyFill="1" applyBorder="1" applyAlignment="1">
      <alignment horizontal="center"/>
    </xf>
    <xf numFmtId="0" fontId="13" fillId="31" borderId="21" xfId="2" applyFont="1" applyFill="1" applyBorder="1" applyAlignment="1">
      <alignment horizontal="center"/>
    </xf>
    <xf numFmtId="0" fontId="13" fillId="31" borderId="8" xfId="2" applyFont="1" applyFill="1" applyBorder="1" applyAlignment="1">
      <alignment horizontal="center"/>
    </xf>
    <xf numFmtId="0" fontId="13" fillId="31" borderId="41" xfId="2" applyFont="1" applyFill="1" applyBorder="1" applyAlignment="1">
      <alignment horizontal="center"/>
    </xf>
    <xf numFmtId="0" fontId="13" fillId="31" borderId="46" xfId="2" applyFont="1" applyFill="1" applyBorder="1" applyAlignment="1">
      <alignment horizontal="center"/>
    </xf>
    <xf numFmtId="0" fontId="13" fillId="31" borderId="20" xfId="2" applyFont="1" applyFill="1" applyBorder="1" applyAlignment="1">
      <alignment horizontal="center"/>
    </xf>
    <xf numFmtId="0" fontId="13" fillId="31" borderId="1" xfId="2" applyFont="1" applyFill="1" applyBorder="1" applyAlignment="1">
      <alignment horizontal="center"/>
    </xf>
    <xf numFmtId="0" fontId="22" fillId="32" borderId="22" xfId="0" applyFont="1" applyFill="1" applyBorder="1" applyAlignment="1" applyProtection="1">
      <alignment horizontal="center" wrapText="1"/>
      <protection locked="0"/>
    </xf>
    <xf numFmtId="0" fontId="22" fillId="32" borderId="23" xfId="0" applyFont="1" applyFill="1" applyBorder="1" applyAlignment="1" applyProtection="1">
      <alignment horizontal="center" wrapText="1"/>
      <protection locked="0"/>
    </xf>
    <xf numFmtId="0" fontId="22" fillId="32" borderId="24" xfId="0" applyFont="1" applyFill="1" applyBorder="1" applyAlignment="1" applyProtection="1">
      <alignment horizontal="center" wrapText="1"/>
      <protection locked="0"/>
    </xf>
    <xf numFmtId="0" fontId="24" fillId="32" borderId="22" xfId="0" applyFont="1" applyFill="1" applyBorder="1" applyAlignment="1" applyProtection="1">
      <alignment horizontal="center"/>
      <protection locked="0"/>
    </xf>
    <xf numFmtId="0" fontId="24" fillId="32" borderId="23" xfId="0" applyFont="1" applyFill="1" applyBorder="1" applyAlignment="1" applyProtection="1">
      <alignment horizontal="center"/>
      <protection locked="0"/>
    </xf>
    <xf numFmtId="0" fontId="24" fillId="32" borderId="24" xfId="0" applyFont="1" applyFill="1" applyBorder="1" applyAlignment="1" applyProtection="1">
      <alignment horizontal="center"/>
      <protection locked="0"/>
    </xf>
    <xf numFmtId="0" fontId="2" fillId="31" borderId="13" xfId="0" applyNumberFormat="1" applyFont="1" applyFill="1" applyBorder="1" applyAlignment="1">
      <alignment horizontal="center"/>
    </xf>
    <xf numFmtId="0" fontId="0" fillId="31" borderId="13" xfId="0" applyFill="1" applyBorder="1" applyAlignment="1">
      <alignment horizontal="center"/>
    </xf>
    <xf numFmtId="0" fontId="9" fillId="31" borderId="13" xfId="1" applyFont="1" applyFill="1" applyBorder="1" applyAlignment="1">
      <alignment horizontal="center"/>
    </xf>
    <xf numFmtId="0" fontId="10" fillId="31" borderId="13" xfId="0" applyNumberFormat="1" applyFont="1" applyFill="1" applyBorder="1" applyAlignment="1">
      <alignment horizontal="center"/>
    </xf>
  </cellXfs>
  <cellStyles count="7">
    <cellStyle name="Accent4" xfId="4" builtinId="41"/>
    <cellStyle name="Bad" xfId="3" builtinId="27"/>
    <cellStyle name="Good" xfId="2" builtinId="26"/>
    <cellStyle name="Hyperlink" xfId="6" builtinId="8"/>
    <cellStyle name="Neutral" xfId="1" builtinId="28"/>
    <cellStyle name="Normal" xfId="0" builtinId="0"/>
    <cellStyle name="Percent" xfId="5" builtinId="5"/>
  </cellStyles>
  <dxfs count="74">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8" tint="0.59999389629810485"/>
        </patternFill>
      </fill>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8" tint="0.59999389629810485"/>
        </patternFill>
      </fill>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color auto="1"/>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5"/>
        <color auto="1"/>
        <name val="Calibri"/>
        <family val="2"/>
        <scheme val="minor"/>
      </font>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dxf>
    <dxf>
      <fill>
        <patternFill>
          <bgColor rgb="FF00B0F0"/>
        </patternFill>
      </fill>
    </dxf>
    <dxf>
      <font>
        <b/>
        <i val="0"/>
        <color auto="1"/>
      </font>
      <fill>
        <gradientFill degree="270">
          <stop position="0">
            <color theme="0"/>
          </stop>
          <stop position="1">
            <color rgb="FF00B050"/>
          </stop>
        </gradientFill>
      </fill>
    </dxf>
    <dxf>
      <font>
        <b/>
        <i val="0"/>
      </font>
      <fill>
        <gradientFill degree="270">
          <stop position="0">
            <color theme="0"/>
          </stop>
          <stop position="1">
            <color rgb="FFFF0000"/>
          </stop>
        </gradientFill>
      </fill>
    </dxf>
    <dxf>
      <font>
        <color rgb="FF006100"/>
      </font>
      <fill>
        <gradientFill degree="270">
          <stop position="0">
            <color theme="0"/>
          </stop>
          <stop position="1">
            <color theme="9" tint="-0.25098422193060094"/>
          </stop>
        </gradientFill>
      </fill>
    </dxf>
    <dxf>
      <fill>
        <gradientFill degree="270">
          <stop position="0">
            <color theme="0"/>
          </stop>
          <stop position="1">
            <color theme="9"/>
          </stop>
        </gradientFill>
      </fill>
    </dxf>
    <dxf>
      <fill>
        <gradientFill degree="270">
          <stop position="0">
            <color theme="0"/>
          </stop>
          <stop position="1">
            <color rgb="FFF36A53"/>
          </stop>
        </gradientFill>
      </fill>
    </dxf>
    <dxf>
      <fill>
        <gradientFill degree="270">
          <stop position="0">
            <color theme="0"/>
          </stop>
          <stop position="1">
            <color rgb="FFEB3546"/>
          </stop>
        </gradientFill>
      </fill>
    </dxf>
    <dxf>
      <fill>
        <gradientFill degree="270">
          <stop position="0">
            <color theme="0"/>
          </stop>
          <stop position="1">
            <color rgb="FF00B050"/>
          </stop>
        </gradientFill>
      </fill>
    </dxf>
    <dxf>
      <fill>
        <gradientFill degree="270">
          <stop position="0">
            <color theme="0"/>
          </stop>
          <stop position="1">
            <color rgb="FFFF0000"/>
          </stop>
        </gradient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gradientFill degree="90">
          <stop position="0">
            <color theme="0"/>
          </stop>
          <stop position="0.5">
            <color rgb="FF00B0F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rgb="FF00B0F0"/>
          </stop>
          <stop position="1">
            <color theme="0"/>
          </stop>
        </gradientFill>
      </fill>
    </dxf>
    <dxf>
      <font>
        <b/>
        <i val="0"/>
        <color rgb="FF00B050"/>
      </font>
      <fill>
        <gradientFill degree="90">
          <stop position="0">
            <color theme="0"/>
          </stop>
          <stop position="0.5">
            <color rgb="FF55F583"/>
          </stop>
          <stop position="1">
            <color theme="0"/>
          </stop>
        </gradientFill>
      </fill>
    </dxf>
    <dxf>
      <font>
        <b/>
        <i val="0"/>
        <color rgb="FFFF0000"/>
      </font>
      <fill>
        <gradientFill degree="90">
          <stop position="0">
            <color theme="0"/>
          </stop>
          <stop position="0.5">
            <color rgb="FFFB8B75"/>
          </stop>
          <stop position="1">
            <color theme="0"/>
          </stop>
        </gradientFill>
      </fill>
    </dxf>
    <dxf>
      <font>
        <b/>
        <i val="0"/>
        <color rgb="FF00B050"/>
      </font>
      <fill>
        <gradientFill degree="90">
          <stop position="0">
            <color theme="0"/>
          </stop>
          <stop position="0.5">
            <color rgb="FF7DF7A0"/>
          </stop>
          <stop position="1">
            <color theme="0"/>
          </stop>
        </gradientFill>
      </fill>
    </dxf>
    <dxf>
      <font>
        <b/>
        <i val="0"/>
        <color rgb="FFFF0000"/>
      </font>
      <fill>
        <gradientFill degree="90">
          <stop position="0">
            <color theme="0"/>
          </stop>
          <stop position="0.5">
            <color rgb="FFFD7B7B"/>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theme="9" tint="-0.25098422193060094"/>
          </stop>
          <stop position="1">
            <color theme="0"/>
          </stop>
        </gradientFill>
      </fill>
    </dxf>
    <dxf>
      <font>
        <b/>
        <i val="0"/>
        <color auto="1"/>
      </font>
      <fill>
        <gradientFill degree="90">
          <stop position="0">
            <color theme="0"/>
          </stop>
          <stop position="0.5">
            <color rgb="FFFF0000"/>
          </stop>
          <stop position="1">
            <color theme="0"/>
          </stop>
        </gradientFill>
      </fill>
    </dxf>
    <dxf>
      <font>
        <b/>
        <i val="0"/>
        <color auto="1"/>
      </font>
      <fill>
        <gradientFill degree="90">
          <stop position="0">
            <color theme="0"/>
          </stop>
          <stop position="0.5">
            <color rgb="FF0DE14A"/>
          </stop>
          <stop position="1">
            <color theme="0"/>
          </stop>
        </gradientFill>
      </fill>
    </dxf>
    <dxf>
      <font>
        <color rgb="FF006100"/>
      </font>
      <fill>
        <patternFill>
          <bgColor rgb="FFC6EFCE"/>
        </patternFill>
      </fill>
    </dxf>
    <dxf>
      <font>
        <color rgb="FF9C0006"/>
      </font>
      <fill>
        <patternFill>
          <bgColor rgb="FFFFC7CE"/>
        </patternFill>
      </fill>
    </dxf>
    <dxf>
      <font>
        <b/>
        <i val="0"/>
        <color rgb="FFFF3300"/>
      </font>
      <fill>
        <gradientFill type="path" left="0.5" right="0.5" top="0.5" bottom="0.5">
          <stop position="0">
            <color theme="0"/>
          </stop>
          <stop position="1">
            <color rgb="FFFD7B7B"/>
          </stop>
        </gradientFill>
      </fill>
    </dxf>
    <dxf>
      <fill>
        <gradientFill type="path" left="0.5" right="0.5" top="0.5" bottom="0.5">
          <stop position="0">
            <color theme="0"/>
          </stop>
          <stop position="1">
            <color rgb="FF55F583"/>
          </stop>
        </gradientFill>
      </fill>
    </dxf>
    <dxf>
      <fill>
        <gradientFill degree="90">
          <stop position="0">
            <color theme="0"/>
          </stop>
          <stop position="0.5">
            <color rgb="FFFF0000"/>
          </stop>
          <stop position="1">
            <color theme="0"/>
          </stop>
        </gradientFill>
      </fill>
    </dxf>
    <dxf>
      <font>
        <b/>
        <i val="0"/>
        <color auto="1"/>
      </font>
      <fill>
        <gradientFill degree="90">
          <stop position="0">
            <color theme="0"/>
          </stop>
          <stop position="0.5">
            <color rgb="FFFF0000"/>
          </stop>
          <stop position="1">
            <color theme="0"/>
          </stop>
        </gradientFill>
      </fill>
    </dxf>
    <dxf>
      <font>
        <b/>
        <i val="0"/>
        <color auto="1"/>
      </font>
      <fill>
        <gradientFill degree="90">
          <stop position="0">
            <color theme="0"/>
          </stop>
          <stop position="0.5">
            <color rgb="FF0DE14A"/>
          </stop>
          <stop position="1">
            <color theme="0"/>
          </stop>
        </gradientFill>
      </fill>
    </dxf>
    <dxf>
      <font>
        <b/>
        <i val="0"/>
        <color auto="1"/>
      </font>
      <fill>
        <gradientFill degree="270">
          <stop position="0">
            <color theme="0"/>
          </stop>
          <stop position="1">
            <color theme="7" tint="0.59999389629810485"/>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FF0000"/>
          </stop>
          <stop position="1">
            <color theme="0"/>
          </stop>
        </gradientFill>
      </fill>
    </dxf>
    <dxf>
      <font>
        <strike val="0"/>
        <outline val="0"/>
        <shadow val="0"/>
        <u val="none"/>
        <vertAlign val="baseline"/>
        <sz val="7"/>
        <color auto="1"/>
        <name val="Consolas"/>
        <family val="3"/>
        <scheme val="none"/>
      </font>
    </dxf>
    <dxf>
      <font>
        <strike val="0"/>
        <outline val="0"/>
        <shadow val="0"/>
        <u val="none"/>
        <vertAlign val="baseline"/>
        <sz val="7"/>
        <color auto="1"/>
        <name val="Consolas"/>
        <family val="3"/>
        <scheme val="none"/>
      </font>
    </dxf>
    <dxf>
      <font>
        <b/>
        <i val="0"/>
        <strike val="0"/>
        <condense val="0"/>
        <extend val="0"/>
        <outline val="0"/>
        <shadow val="0"/>
        <u val="none"/>
        <vertAlign val="baseline"/>
        <sz val="11"/>
        <color theme="1"/>
        <name val="Calibri"/>
        <family val="2"/>
        <scheme val="minor"/>
      </font>
      <fill>
        <patternFill patternType="none">
          <fgColor indexed="64"/>
          <bgColor theme="8" tint="0.59999389629810485"/>
        </patternFill>
      </fill>
    </dxf>
    <dxf>
      <font>
        <b/>
        <i val="0"/>
        <strike val="0"/>
        <condense val="0"/>
        <extend val="0"/>
        <outline val="0"/>
        <shadow val="0"/>
        <u val="none"/>
        <vertAlign val="baseline"/>
        <sz val="11"/>
        <color theme="1"/>
        <name val="Calibri"/>
        <family val="2"/>
        <scheme val="minor"/>
      </font>
      <fill>
        <patternFill patternType="none">
          <fgColor indexed="64"/>
          <bgColor theme="8" tint="0.59999389629810485"/>
        </patternFill>
      </fill>
    </dxf>
    <dxf>
      <fill>
        <patternFill patternType="none">
          <fgColor indexed="64"/>
          <bgColor theme="8" tint="0.59999389629810485"/>
        </patternFill>
      </fill>
      <alignment horizontal="center" vertical="bottom" textRotation="0" wrapText="0" indent="0" justifyLastLine="0" shrinkToFit="0" readingOrder="0"/>
    </dxf>
    <dxf>
      <font>
        <b val="0"/>
        <strike val="0"/>
        <outline val="0"/>
        <shadow val="0"/>
        <u val="none"/>
        <vertAlign val="baseline"/>
        <sz val="12"/>
        <color auto="1"/>
        <name val="Calibri"/>
        <family val="2"/>
        <scheme val="minor"/>
      </font>
      <fill>
        <patternFill patternType="none">
          <fgColor indexed="64"/>
          <bgColor theme="8" tint="0.59999389629810485"/>
        </patternFill>
      </fill>
      <alignment horizontal="center" vertical="center" textRotation="0" wrapText="1" indent="0" justifyLastLine="0" shrinkToFit="0" readingOrder="0"/>
    </dxf>
  </dxfs>
  <tableStyles count="0" defaultTableStyle="TableStyleMedium2" defaultPivotStyle="PivotStyleLight16"/>
  <colors>
    <mruColors>
      <color rgb="FFFF3300"/>
      <color rgb="FF0DE14A"/>
      <color rgb="FFFEBAAC"/>
      <color rgb="FFF6B8F2"/>
      <color rgb="FFFF7C80"/>
      <color rgb="FFFB8B75"/>
      <color rgb="FF55F583"/>
      <color rgb="FF4F7A32"/>
      <color rgb="FFFF412D"/>
      <color rgb="FFF930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US" sz="1500">
                <a:solidFill>
                  <a:schemeClr val="bg1"/>
                </a:solidFill>
              </a:rPr>
              <a:t>Total OI Change</a:t>
            </a:r>
          </a:p>
        </c:rich>
      </c:tx>
      <c:layout>
        <c:manualLayout>
          <c:xMode val="edge"/>
          <c:yMode val="edge"/>
          <c:x val="9.4576860324891831E-3"/>
          <c:y val="7.4515514327832301E-3"/>
        </c:manualLayout>
      </c:layout>
      <c:overlay val="0"/>
      <c:spPr>
        <a:solidFill>
          <a:schemeClr val="accent2"/>
        </a:solidFill>
        <a:ln>
          <a:noFill/>
        </a:ln>
        <a:effectLst/>
      </c:spPr>
      <c:txPr>
        <a:bodyPr rot="0" spcFirstLastPara="1" vertOverflow="ellipsis" vert="horz" wrap="square" anchor="ctr" anchorCtr="1"/>
        <a:lstStyle/>
        <a:p>
          <a:pPr algn="l">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Dashboard!$D$17</c:f>
              <c:strCache>
                <c:ptCount val="1"/>
                <c:pt idx="0">
                  <c:v>CALL Chng OI</c:v>
                </c:pt>
              </c:strCache>
            </c:strRef>
          </c:tx>
          <c:spPr>
            <a:solidFill>
              <a:srgbClr val="0DE14A"/>
            </a:solidFill>
            <a:ln>
              <a:noFill/>
            </a:ln>
            <a:effectLst>
              <a:outerShdw blurRad="57150" dist="19050" dir="5400000" algn="ctr" rotWithShape="0">
                <a:srgbClr val="000000">
                  <a:alpha val="63000"/>
                </a:srgbClr>
              </a:outerShdw>
            </a:effectLst>
          </c:spPr>
          <c:invertIfNegative val="0"/>
          <c:val>
            <c:numRef>
              <c:f>Dashboard!$D$22</c:f>
              <c:numCache>
                <c:formatCode>#,##0</c:formatCode>
                <c:ptCount val="1"/>
                <c:pt idx="0">
                  <c:v>12179175</c:v>
                </c:pt>
              </c:numCache>
            </c:numRef>
          </c:val>
          <c:extLst>
            <c:ext xmlns:c16="http://schemas.microsoft.com/office/drawing/2014/chart" uri="{C3380CC4-5D6E-409C-BE32-E72D297353CC}">
              <c16:uniqueId val="{00000000-01DA-4599-92CA-F8ECC7AF43BE}"/>
            </c:ext>
          </c:extLst>
        </c:ser>
        <c:ser>
          <c:idx val="1"/>
          <c:order val="1"/>
          <c:tx>
            <c:strRef>
              <c:f>Dashboard!$F$17</c:f>
              <c:strCache>
                <c:ptCount val="1"/>
                <c:pt idx="0">
                  <c:v>PUT Chng OI</c:v>
                </c:pt>
              </c:strCache>
            </c:strRef>
          </c:tx>
          <c:spPr>
            <a:solidFill>
              <a:srgbClr val="FF3300"/>
            </a:solidFill>
            <a:ln>
              <a:noFill/>
            </a:ln>
            <a:effectLst>
              <a:outerShdw blurRad="57150" dist="19050" dir="5400000" algn="ctr" rotWithShape="0">
                <a:srgbClr val="000000">
                  <a:alpha val="63000"/>
                </a:srgbClr>
              </a:outerShdw>
            </a:effectLst>
          </c:spPr>
          <c:invertIfNegative val="0"/>
          <c:val>
            <c:numRef>
              <c:f>Dashboard!$F$22</c:f>
              <c:numCache>
                <c:formatCode>#,##0</c:formatCode>
                <c:ptCount val="1"/>
                <c:pt idx="0">
                  <c:v>5388750</c:v>
                </c:pt>
              </c:numCache>
            </c:numRef>
          </c:val>
          <c:extLst>
            <c:ext xmlns:c16="http://schemas.microsoft.com/office/drawing/2014/chart" uri="{C3380CC4-5D6E-409C-BE32-E72D297353CC}">
              <c16:uniqueId val="{00000001-01DA-4599-92CA-F8ECC7AF43BE}"/>
            </c:ext>
          </c:extLst>
        </c:ser>
        <c:dLbls>
          <c:showLegendKey val="0"/>
          <c:showVal val="0"/>
          <c:showCatName val="0"/>
          <c:showSerName val="0"/>
          <c:showPercent val="0"/>
          <c:showBubbleSize val="0"/>
        </c:dLbls>
        <c:gapWidth val="100"/>
        <c:overlap val="-24"/>
        <c:axId val="1103887312"/>
        <c:axId val="1103889872"/>
      </c:barChart>
      <c:catAx>
        <c:axId val="1103887312"/>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103889872"/>
        <c:crosses val="autoZero"/>
        <c:auto val="1"/>
        <c:lblAlgn val="ctr"/>
        <c:lblOffset val="100"/>
        <c:noMultiLvlLbl val="0"/>
      </c:catAx>
      <c:valAx>
        <c:axId val="110388987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10388731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100" b="1" i="0" u="none" strike="noStrike" kern="1200" baseline="0">
                <a:solidFill>
                  <a:schemeClr val="lt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tileRect/>
    </a:gradFill>
    <a:ln>
      <a:noFill/>
    </a:ln>
    <a:effectLst>
      <a:outerShdw blurRad="57150" dist="19050" dir="5400000" algn="ctr" rotWithShape="0">
        <a:srgbClr val="000000">
          <a:alpha val="63000"/>
        </a:srgbClr>
      </a:outerShdw>
    </a:effectLst>
  </c:spPr>
  <c:txPr>
    <a:bodyPr/>
    <a:lstStyle/>
    <a:p>
      <a:pPr>
        <a:defRPr b="1">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IN" b="1"/>
              <a:t>Change</a:t>
            </a:r>
            <a:r>
              <a:rPr lang="en-IN" b="1" baseline="0"/>
              <a:t> in OI</a:t>
            </a:r>
            <a:endParaRPr lang="en-IN" b="1"/>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OptionAnalysis!$C$5</c:f>
              <c:strCache>
                <c:ptCount val="1"/>
                <c:pt idx="0">
                  <c:v>Change OI CE</c:v>
                </c:pt>
              </c:strCache>
            </c:strRef>
          </c:tx>
          <c:spPr>
            <a:solidFill>
              <a:srgbClr val="00B050"/>
            </a:solidFill>
            <a:ln>
              <a:noFill/>
            </a:ln>
            <a:effectLst>
              <a:outerShdw blurRad="57150" dist="19050" dir="5400000" algn="ctr" rotWithShape="0">
                <a:srgbClr val="000000">
                  <a:alpha val="63000"/>
                </a:srgbClr>
              </a:outerShdw>
            </a:effectLst>
          </c:spPr>
          <c:invertIfNegative val="0"/>
          <c:cat>
            <c:numRef>
              <c:f>OptionAnalysis!$H$6:$H$26</c:f>
              <c:numCache>
                <c:formatCode>General</c:formatCode>
                <c:ptCount val="21"/>
                <c:pt idx="0">
                  <c:v>17700</c:v>
                </c:pt>
                <c:pt idx="1">
                  <c:v>17750</c:v>
                </c:pt>
                <c:pt idx="2">
                  <c:v>17800</c:v>
                </c:pt>
                <c:pt idx="3">
                  <c:v>17850</c:v>
                </c:pt>
                <c:pt idx="4">
                  <c:v>17900</c:v>
                </c:pt>
                <c:pt idx="5">
                  <c:v>17950</c:v>
                </c:pt>
                <c:pt idx="6">
                  <c:v>18000</c:v>
                </c:pt>
                <c:pt idx="7">
                  <c:v>18050</c:v>
                </c:pt>
                <c:pt idx="8">
                  <c:v>18100</c:v>
                </c:pt>
                <c:pt idx="9">
                  <c:v>18150</c:v>
                </c:pt>
                <c:pt idx="10">
                  <c:v>18200</c:v>
                </c:pt>
                <c:pt idx="11">
                  <c:v>18250</c:v>
                </c:pt>
                <c:pt idx="12">
                  <c:v>18300</c:v>
                </c:pt>
                <c:pt idx="13">
                  <c:v>18350</c:v>
                </c:pt>
                <c:pt idx="14">
                  <c:v>18400</c:v>
                </c:pt>
                <c:pt idx="15">
                  <c:v>18450</c:v>
                </c:pt>
                <c:pt idx="16">
                  <c:v>18500</c:v>
                </c:pt>
                <c:pt idx="17">
                  <c:v>18550</c:v>
                </c:pt>
                <c:pt idx="18">
                  <c:v>18600</c:v>
                </c:pt>
                <c:pt idx="19">
                  <c:v>18650</c:v>
                </c:pt>
                <c:pt idx="20">
                  <c:v>18700</c:v>
                </c:pt>
              </c:numCache>
            </c:numRef>
          </c:cat>
          <c:val>
            <c:numRef>
              <c:f>OptionAnalysis!$C$6:$C$26</c:f>
              <c:numCache>
                <c:formatCode>#,##0</c:formatCode>
                <c:ptCount val="21"/>
                <c:pt idx="0">
                  <c:v>-25</c:v>
                </c:pt>
                <c:pt idx="1">
                  <c:v>-7</c:v>
                </c:pt>
                <c:pt idx="2">
                  <c:v>-128</c:v>
                </c:pt>
                <c:pt idx="3">
                  <c:v>-41</c:v>
                </c:pt>
                <c:pt idx="4">
                  <c:v>-103</c:v>
                </c:pt>
                <c:pt idx="5">
                  <c:v>-87</c:v>
                </c:pt>
                <c:pt idx="6">
                  <c:v>-8047</c:v>
                </c:pt>
                <c:pt idx="7">
                  <c:v>-3383</c:v>
                </c:pt>
                <c:pt idx="8">
                  <c:v>-10995</c:v>
                </c:pt>
                <c:pt idx="9">
                  <c:v>-1940</c:v>
                </c:pt>
                <c:pt idx="10">
                  <c:v>27748</c:v>
                </c:pt>
                <c:pt idx="11">
                  <c:v>50794</c:v>
                </c:pt>
                <c:pt idx="12">
                  <c:v>108256</c:v>
                </c:pt>
                <c:pt idx="13">
                  <c:v>28681</c:v>
                </c:pt>
                <c:pt idx="14">
                  <c:v>25452</c:v>
                </c:pt>
                <c:pt idx="15">
                  <c:v>26018</c:v>
                </c:pt>
                <c:pt idx="16">
                  <c:v>27461</c:v>
                </c:pt>
                <c:pt idx="17">
                  <c:v>13596</c:v>
                </c:pt>
                <c:pt idx="18">
                  <c:v>31436</c:v>
                </c:pt>
                <c:pt idx="19">
                  <c:v>7181</c:v>
                </c:pt>
                <c:pt idx="20">
                  <c:v>25784</c:v>
                </c:pt>
              </c:numCache>
            </c:numRef>
          </c:val>
          <c:extLst>
            <c:ext xmlns:c16="http://schemas.microsoft.com/office/drawing/2014/chart" uri="{C3380CC4-5D6E-409C-BE32-E72D297353CC}">
              <c16:uniqueId val="{00000002-D865-4D30-96EB-D042BF5DC630}"/>
            </c:ext>
          </c:extLst>
        </c:ser>
        <c:ser>
          <c:idx val="1"/>
          <c:order val="1"/>
          <c:tx>
            <c:strRef>
              <c:f>OptionAnalysis!$M$5</c:f>
              <c:strCache>
                <c:ptCount val="1"/>
                <c:pt idx="0">
                  <c:v>Change OI PE</c:v>
                </c:pt>
              </c:strCache>
            </c:strRef>
          </c:tx>
          <c:spPr>
            <a:solidFill>
              <a:srgbClr val="FF0000"/>
            </a:solidFill>
            <a:ln>
              <a:noFill/>
            </a:ln>
            <a:effectLst>
              <a:outerShdw blurRad="57150" dist="19050" dir="5400000" algn="ctr" rotWithShape="0">
                <a:srgbClr val="000000">
                  <a:alpha val="63000"/>
                </a:srgbClr>
              </a:outerShdw>
            </a:effectLst>
          </c:spPr>
          <c:invertIfNegative val="0"/>
          <c:cat>
            <c:numRef>
              <c:f>OptionAnalysis!$H$6:$H$26</c:f>
              <c:numCache>
                <c:formatCode>General</c:formatCode>
                <c:ptCount val="21"/>
                <c:pt idx="0">
                  <c:v>17700</c:v>
                </c:pt>
                <c:pt idx="1">
                  <c:v>17750</c:v>
                </c:pt>
                <c:pt idx="2">
                  <c:v>17800</c:v>
                </c:pt>
                <c:pt idx="3">
                  <c:v>17850</c:v>
                </c:pt>
                <c:pt idx="4">
                  <c:v>17900</c:v>
                </c:pt>
                <c:pt idx="5">
                  <c:v>17950</c:v>
                </c:pt>
                <c:pt idx="6">
                  <c:v>18000</c:v>
                </c:pt>
                <c:pt idx="7">
                  <c:v>18050</c:v>
                </c:pt>
                <c:pt idx="8">
                  <c:v>18100</c:v>
                </c:pt>
                <c:pt idx="9">
                  <c:v>18150</c:v>
                </c:pt>
                <c:pt idx="10">
                  <c:v>18200</c:v>
                </c:pt>
                <c:pt idx="11">
                  <c:v>18250</c:v>
                </c:pt>
                <c:pt idx="12">
                  <c:v>18300</c:v>
                </c:pt>
                <c:pt idx="13">
                  <c:v>18350</c:v>
                </c:pt>
                <c:pt idx="14">
                  <c:v>18400</c:v>
                </c:pt>
                <c:pt idx="15">
                  <c:v>18450</c:v>
                </c:pt>
                <c:pt idx="16">
                  <c:v>18500</c:v>
                </c:pt>
                <c:pt idx="17">
                  <c:v>18550</c:v>
                </c:pt>
                <c:pt idx="18">
                  <c:v>18600</c:v>
                </c:pt>
                <c:pt idx="19">
                  <c:v>18650</c:v>
                </c:pt>
                <c:pt idx="20">
                  <c:v>18700</c:v>
                </c:pt>
              </c:numCache>
            </c:numRef>
          </c:cat>
          <c:val>
            <c:numRef>
              <c:f>OptionAnalysis!$M$6:$M$26</c:f>
              <c:numCache>
                <c:formatCode>#,##0</c:formatCode>
                <c:ptCount val="21"/>
                <c:pt idx="0">
                  <c:v>11369</c:v>
                </c:pt>
                <c:pt idx="1">
                  <c:v>-8574</c:v>
                </c:pt>
                <c:pt idx="2">
                  <c:v>12744</c:v>
                </c:pt>
                <c:pt idx="3">
                  <c:v>2355</c:v>
                </c:pt>
                <c:pt idx="4">
                  <c:v>27359</c:v>
                </c:pt>
                <c:pt idx="5">
                  <c:v>20931</c:v>
                </c:pt>
                <c:pt idx="6">
                  <c:v>43162</c:v>
                </c:pt>
                <c:pt idx="7">
                  <c:v>-2005</c:v>
                </c:pt>
                <c:pt idx="8">
                  <c:v>26626</c:v>
                </c:pt>
                <c:pt idx="9">
                  <c:v>27349</c:v>
                </c:pt>
                <c:pt idx="10">
                  <c:v>62658</c:v>
                </c:pt>
                <c:pt idx="11">
                  <c:v>49942</c:v>
                </c:pt>
                <c:pt idx="12">
                  <c:v>46861</c:v>
                </c:pt>
                <c:pt idx="13">
                  <c:v>11054</c:v>
                </c:pt>
                <c:pt idx="14">
                  <c:v>13935</c:v>
                </c:pt>
                <c:pt idx="15">
                  <c:v>1851</c:v>
                </c:pt>
                <c:pt idx="16">
                  <c:v>920</c:v>
                </c:pt>
                <c:pt idx="17">
                  <c:v>10</c:v>
                </c:pt>
                <c:pt idx="18">
                  <c:v>109</c:v>
                </c:pt>
                <c:pt idx="19">
                  <c:v>199</c:v>
                </c:pt>
                <c:pt idx="20">
                  <c:v>83</c:v>
                </c:pt>
              </c:numCache>
            </c:numRef>
          </c:val>
          <c:extLst>
            <c:ext xmlns:c16="http://schemas.microsoft.com/office/drawing/2014/chart" uri="{C3380CC4-5D6E-409C-BE32-E72D297353CC}">
              <c16:uniqueId val="{00000003-D865-4D30-96EB-D042BF5DC630}"/>
            </c:ext>
          </c:extLst>
        </c:ser>
        <c:dLbls>
          <c:showLegendKey val="0"/>
          <c:showVal val="0"/>
          <c:showCatName val="0"/>
          <c:showSerName val="0"/>
          <c:showPercent val="0"/>
          <c:showBubbleSize val="0"/>
        </c:dLbls>
        <c:gapWidth val="100"/>
        <c:overlap val="-24"/>
        <c:axId val="934248912"/>
        <c:axId val="934249232"/>
      </c:barChart>
      <c:catAx>
        <c:axId val="9342489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34249232"/>
        <c:crosses val="autoZero"/>
        <c:auto val="1"/>
        <c:lblAlgn val="ctr"/>
        <c:lblOffset val="100"/>
        <c:noMultiLvlLbl val="0"/>
      </c:catAx>
      <c:valAx>
        <c:axId val="93424923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34248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tileRect/>
    </a:gradFill>
    <a:ln>
      <a:noFill/>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IN"/>
              <a:t>Volume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OptionAnalysis!$D$5</c:f>
              <c:strCache>
                <c:ptCount val="1"/>
                <c:pt idx="0">
                  <c:v>Volume CE</c:v>
                </c:pt>
              </c:strCache>
            </c:strRef>
          </c:tx>
          <c:spPr>
            <a:solidFill>
              <a:srgbClr val="00B050"/>
            </a:solidFill>
            <a:ln>
              <a:noFill/>
            </a:ln>
            <a:effectLst>
              <a:outerShdw blurRad="57150" dist="19050" dir="5400000" algn="ctr" rotWithShape="0">
                <a:srgbClr val="000000">
                  <a:alpha val="63000"/>
                </a:srgbClr>
              </a:outerShdw>
            </a:effectLst>
          </c:spPr>
          <c:invertIfNegative val="0"/>
          <c:cat>
            <c:numRef>
              <c:f>OptionAnalysis!$H$6:$H$26</c:f>
              <c:numCache>
                <c:formatCode>General</c:formatCode>
                <c:ptCount val="21"/>
                <c:pt idx="0">
                  <c:v>17700</c:v>
                </c:pt>
                <c:pt idx="1">
                  <c:v>17750</c:v>
                </c:pt>
                <c:pt idx="2">
                  <c:v>17800</c:v>
                </c:pt>
                <c:pt idx="3">
                  <c:v>17850</c:v>
                </c:pt>
                <c:pt idx="4">
                  <c:v>17900</c:v>
                </c:pt>
                <c:pt idx="5">
                  <c:v>17950</c:v>
                </c:pt>
                <c:pt idx="6">
                  <c:v>18000</c:v>
                </c:pt>
                <c:pt idx="7">
                  <c:v>18050</c:v>
                </c:pt>
                <c:pt idx="8">
                  <c:v>18100</c:v>
                </c:pt>
                <c:pt idx="9">
                  <c:v>18150</c:v>
                </c:pt>
                <c:pt idx="10">
                  <c:v>18200</c:v>
                </c:pt>
                <c:pt idx="11">
                  <c:v>18250</c:v>
                </c:pt>
                <c:pt idx="12">
                  <c:v>18300</c:v>
                </c:pt>
                <c:pt idx="13">
                  <c:v>18350</c:v>
                </c:pt>
                <c:pt idx="14">
                  <c:v>18400</c:v>
                </c:pt>
                <c:pt idx="15">
                  <c:v>18450</c:v>
                </c:pt>
                <c:pt idx="16">
                  <c:v>18500</c:v>
                </c:pt>
                <c:pt idx="17">
                  <c:v>18550</c:v>
                </c:pt>
                <c:pt idx="18">
                  <c:v>18600</c:v>
                </c:pt>
                <c:pt idx="19">
                  <c:v>18650</c:v>
                </c:pt>
                <c:pt idx="20">
                  <c:v>18700</c:v>
                </c:pt>
              </c:numCache>
            </c:numRef>
          </c:cat>
          <c:val>
            <c:numRef>
              <c:f>OptionAnalysis!$D$6:$D$26</c:f>
              <c:numCache>
                <c:formatCode>General</c:formatCode>
                <c:ptCount val="21"/>
                <c:pt idx="0">
                  <c:v>594</c:v>
                </c:pt>
                <c:pt idx="1">
                  <c:v>150</c:v>
                </c:pt>
                <c:pt idx="2">
                  <c:v>1602</c:v>
                </c:pt>
                <c:pt idx="3">
                  <c:v>366</c:v>
                </c:pt>
                <c:pt idx="4">
                  <c:v>4487</c:v>
                </c:pt>
                <c:pt idx="5">
                  <c:v>1444</c:v>
                </c:pt>
                <c:pt idx="6">
                  <c:v>56664</c:v>
                </c:pt>
                <c:pt idx="7">
                  <c:v>31188</c:v>
                </c:pt>
                <c:pt idx="8">
                  <c:v>124840</c:v>
                </c:pt>
                <c:pt idx="9">
                  <c:v>89534</c:v>
                </c:pt>
                <c:pt idx="10">
                  <c:v>441693</c:v>
                </c:pt>
                <c:pt idx="11">
                  <c:v>422490</c:v>
                </c:pt>
                <c:pt idx="12">
                  <c:v>798008</c:v>
                </c:pt>
                <c:pt idx="13">
                  <c:v>287217</c:v>
                </c:pt>
                <c:pt idx="14">
                  <c:v>498802</c:v>
                </c:pt>
                <c:pt idx="15">
                  <c:v>321416</c:v>
                </c:pt>
                <c:pt idx="16">
                  <c:v>539043</c:v>
                </c:pt>
                <c:pt idx="17">
                  <c:v>176289</c:v>
                </c:pt>
                <c:pt idx="18">
                  <c:v>306863</c:v>
                </c:pt>
                <c:pt idx="19">
                  <c:v>84693</c:v>
                </c:pt>
                <c:pt idx="20">
                  <c:v>235351</c:v>
                </c:pt>
              </c:numCache>
            </c:numRef>
          </c:val>
          <c:extLst>
            <c:ext xmlns:c16="http://schemas.microsoft.com/office/drawing/2014/chart" uri="{C3380CC4-5D6E-409C-BE32-E72D297353CC}">
              <c16:uniqueId val="{00000000-C375-4089-9E48-A6255CD73116}"/>
            </c:ext>
          </c:extLst>
        </c:ser>
        <c:ser>
          <c:idx val="1"/>
          <c:order val="1"/>
          <c:tx>
            <c:strRef>
              <c:f>OptionAnalysis!$L$5</c:f>
              <c:strCache>
                <c:ptCount val="1"/>
                <c:pt idx="0">
                  <c:v>Volume PE</c:v>
                </c:pt>
              </c:strCache>
            </c:strRef>
          </c:tx>
          <c:spPr>
            <a:solidFill>
              <a:srgbClr val="FF0000"/>
            </a:solidFill>
            <a:ln>
              <a:noFill/>
            </a:ln>
            <a:effectLst>
              <a:outerShdw blurRad="57150" dist="19050" dir="5400000" algn="ctr" rotWithShape="0">
                <a:srgbClr val="000000">
                  <a:alpha val="63000"/>
                </a:srgbClr>
              </a:outerShdw>
            </a:effectLst>
          </c:spPr>
          <c:invertIfNegative val="0"/>
          <c:cat>
            <c:numRef>
              <c:f>OptionAnalysis!$H$6:$H$26</c:f>
              <c:numCache>
                <c:formatCode>General</c:formatCode>
                <c:ptCount val="21"/>
                <c:pt idx="0">
                  <c:v>17700</c:v>
                </c:pt>
                <c:pt idx="1">
                  <c:v>17750</c:v>
                </c:pt>
                <c:pt idx="2">
                  <c:v>17800</c:v>
                </c:pt>
                <c:pt idx="3">
                  <c:v>17850</c:v>
                </c:pt>
                <c:pt idx="4">
                  <c:v>17900</c:v>
                </c:pt>
                <c:pt idx="5">
                  <c:v>17950</c:v>
                </c:pt>
                <c:pt idx="6">
                  <c:v>18000</c:v>
                </c:pt>
                <c:pt idx="7">
                  <c:v>18050</c:v>
                </c:pt>
                <c:pt idx="8">
                  <c:v>18100</c:v>
                </c:pt>
                <c:pt idx="9">
                  <c:v>18150</c:v>
                </c:pt>
                <c:pt idx="10">
                  <c:v>18200</c:v>
                </c:pt>
                <c:pt idx="11">
                  <c:v>18250</c:v>
                </c:pt>
                <c:pt idx="12">
                  <c:v>18300</c:v>
                </c:pt>
                <c:pt idx="13">
                  <c:v>18350</c:v>
                </c:pt>
                <c:pt idx="14">
                  <c:v>18400</c:v>
                </c:pt>
                <c:pt idx="15">
                  <c:v>18450</c:v>
                </c:pt>
                <c:pt idx="16">
                  <c:v>18500</c:v>
                </c:pt>
                <c:pt idx="17">
                  <c:v>18550</c:v>
                </c:pt>
                <c:pt idx="18">
                  <c:v>18600</c:v>
                </c:pt>
                <c:pt idx="19">
                  <c:v>18650</c:v>
                </c:pt>
                <c:pt idx="20">
                  <c:v>18700</c:v>
                </c:pt>
              </c:numCache>
            </c:numRef>
          </c:cat>
          <c:val>
            <c:numRef>
              <c:f>OptionAnalysis!$L$6:$L$26</c:f>
              <c:numCache>
                <c:formatCode>#,##0</c:formatCode>
                <c:ptCount val="21"/>
                <c:pt idx="0">
                  <c:v>169037</c:v>
                </c:pt>
                <c:pt idx="1">
                  <c:v>90987</c:v>
                </c:pt>
                <c:pt idx="2">
                  <c:v>246912</c:v>
                </c:pt>
                <c:pt idx="3">
                  <c:v>127616</c:v>
                </c:pt>
                <c:pt idx="4">
                  <c:v>319340</c:v>
                </c:pt>
                <c:pt idx="5">
                  <c:v>248438</c:v>
                </c:pt>
                <c:pt idx="6">
                  <c:v>552042</c:v>
                </c:pt>
                <c:pt idx="7">
                  <c:v>292366</c:v>
                </c:pt>
                <c:pt idx="8">
                  <c:v>551758</c:v>
                </c:pt>
                <c:pt idx="9">
                  <c:v>334115</c:v>
                </c:pt>
                <c:pt idx="10">
                  <c:v>782147</c:v>
                </c:pt>
                <c:pt idx="11">
                  <c:v>434890</c:v>
                </c:pt>
                <c:pt idx="12">
                  <c:v>489761</c:v>
                </c:pt>
                <c:pt idx="13">
                  <c:v>121266</c:v>
                </c:pt>
                <c:pt idx="14">
                  <c:v>125634</c:v>
                </c:pt>
                <c:pt idx="15">
                  <c:v>21740</c:v>
                </c:pt>
                <c:pt idx="16">
                  <c:v>34556</c:v>
                </c:pt>
                <c:pt idx="17">
                  <c:v>1399</c:v>
                </c:pt>
                <c:pt idx="18">
                  <c:v>3440</c:v>
                </c:pt>
                <c:pt idx="19">
                  <c:v>291</c:v>
                </c:pt>
                <c:pt idx="20">
                  <c:v>943</c:v>
                </c:pt>
              </c:numCache>
            </c:numRef>
          </c:val>
          <c:extLst>
            <c:ext xmlns:c16="http://schemas.microsoft.com/office/drawing/2014/chart" uri="{C3380CC4-5D6E-409C-BE32-E72D297353CC}">
              <c16:uniqueId val="{00000002-C375-4089-9E48-A6255CD73116}"/>
            </c:ext>
          </c:extLst>
        </c:ser>
        <c:dLbls>
          <c:showLegendKey val="0"/>
          <c:showVal val="0"/>
          <c:showCatName val="0"/>
          <c:showSerName val="0"/>
          <c:showPercent val="0"/>
          <c:showBubbleSize val="0"/>
        </c:dLbls>
        <c:gapWidth val="100"/>
        <c:overlap val="-24"/>
        <c:axId val="1103897872"/>
        <c:axId val="1103899792"/>
      </c:barChart>
      <c:catAx>
        <c:axId val="11038978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03899792"/>
        <c:crosses val="autoZero"/>
        <c:auto val="1"/>
        <c:lblAlgn val="ctr"/>
        <c:lblOffset val="100"/>
        <c:noMultiLvlLbl val="0"/>
      </c:catAx>
      <c:valAx>
        <c:axId val="11038997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03897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tileRect/>
    </a:gradFill>
    <a:ln>
      <a:noFill/>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US" sz="1500">
                <a:solidFill>
                  <a:schemeClr val="bg1"/>
                </a:solidFill>
              </a:rPr>
              <a:t>Total OI Change</a:t>
            </a:r>
          </a:p>
        </c:rich>
      </c:tx>
      <c:layout>
        <c:manualLayout>
          <c:xMode val="edge"/>
          <c:yMode val="edge"/>
          <c:x val="8.8286479250334671E-2"/>
          <c:y val="7.4515648286140089E-3"/>
        </c:manualLayout>
      </c:layout>
      <c:overlay val="0"/>
      <c:spPr>
        <a:noFill/>
        <a:ln>
          <a:noFill/>
        </a:ln>
        <a:effectLst/>
      </c:spPr>
      <c:txPr>
        <a:bodyPr rot="0" spcFirstLastPara="1" vertOverflow="ellipsis" vert="horz" wrap="square" anchor="ctr" anchorCtr="1"/>
        <a:lstStyle/>
        <a:p>
          <a:pPr algn="l">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Dashboard!$M$11</c:f>
              <c:strCache>
                <c:ptCount val="1"/>
                <c:pt idx="0">
                  <c:v>CALL</c:v>
                </c:pt>
              </c:strCache>
            </c:strRef>
          </c:tx>
          <c:spPr>
            <a:solidFill>
              <a:srgbClr val="00B050"/>
            </a:solidFill>
            <a:ln>
              <a:noFill/>
            </a:ln>
            <a:effectLst>
              <a:outerShdw blurRad="57150" dist="19050" dir="5400000" algn="ctr" rotWithShape="0">
                <a:srgbClr val="000000">
                  <a:alpha val="63000"/>
                </a:srgbClr>
              </a:outerShdw>
            </a:effectLst>
          </c:spPr>
          <c:invertIfNegative val="0"/>
          <c:val>
            <c:numRef>
              <c:f>Dashboard!$O$11</c:f>
              <c:numCache>
                <c:formatCode>#,##0</c:formatCode>
                <c:ptCount val="1"/>
                <c:pt idx="0">
                  <c:v>17382550</c:v>
                </c:pt>
              </c:numCache>
            </c:numRef>
          </c:val>
          <c:extLst>
            <c:ext xmlns:c16="http://schemas.microsoft.com/office/drawing/2014/chart" uri="{C3380CC4-5D6E-409C-BE32-E72D297353CC}">
              <c16:uniqueId val="{00000000-42A6-4631-B7F4-BD3B0EA6388B}"/>
            </c:ext>
          </c:extLst>
        </c:ser>
        <c:ser>
          <c:idx val="1"/>
          <c:order val="1"/>
          <c:tx>
            <c:strRef>
              <c:f>Dashboard!$M$12</c:f>
              <c:strCache>
                <c:ptCount val="1"/>
                <c:pt idx="0">
                  <c:v>PUT</c:v>
                </c:pt>
              </c:strCache>
            </c:strRef>
          </c:tx>
          <c:spPr>
            <a:solidFill>
              <a:srgbClr val="FF3300"/>
            </a:solidFill>
            <a:ln>
              <a:noFill/>
            </a:ln>
            <a:effectLst>
              <a:outerShdw blurRad="57150" dist="19050" dir="5400000" algn="ctr" rotWithShape="0">
                <a:srgbClr val="000000">
                  <a:alpha val="63000"/>
                </a:srgbClr>
              </a:outerShdw>
            </a:effectLst>
          </c:spPr>
          <c:invertIfNegative val="0"/>
          <c:val>
            <c:numRef>
              <c:f>Dashboard!$O$12</c:f>
              <c:numCache>
                <c:formatCode>#,##0</c:formatCode>
                <c:ptCount val="1"/>
                <c:pt idx="0">
                  <c:v>17446900</c:v>
                </c:pt>
              </c:numCache>
            </c:numRef>
          </c:val>
          <c:extLst>
            <c:ext xmlns:c16="http://schemas.microsoft.com/office/drawing/2014/chart" uri="{C3380CC4-5D6E-409C-BE32-E72D297353CC}">
              <c16:uniqueId val="{00000003-42A6-4631-B7F4-BD3B0EA6388B}"/>
            </c:ext>
          </c:extLst>
        </c:ser>
        <c:dLbls>
          <c:showLegendKey val="0"/>
          <c:showVal val="0"/>
          <c:showCatName val="0"/>
          <c:showSerName val="0"/>
          <c:showPercent val="0"/>
          <c:showBubbleSize val="0"/>
        </c:dLbls>
        <c:gapWidth val="100"/>
        <c:overlap val="-24"/>
        <c:axId val="1103887312"/>
        <c:axId val="1103889872"/>
      </c:barChart>
      <c:catAx>
        <c:axId val="1103887312"/>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103889872"/>
        <c:crosses val="autoZero"/>
        <c:auto val="1"/>
        <c:lblAlgn val="ctr"/>
        <c:lblOffset val="100"/>
        <c:noMultiLvlLbl val="0"/>
      </c:catAx>
      <c:valAx>
        <c:axId val="110388987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10388731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100" b="1" i="0" u="none" strike="noStrike" kern="1200" baseline="0">
                <a:solidFill>
                  <a:schemeClr val="lt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tileRect/>
    </a:gradFill>
    <a:ln>
      <a:noFill/>
    </a:ln>
    <a:effectLst>
      <a:outerShdw blurRad="57150" dist="19050" dir="5400000" algn="ctr" rotWithShape="0">
        <a:srgbClr val="000000">
          <a:alpha val="63000"/>
        </a:srgbClr>
      </a:outerShdw>
    </a:effectLst>
  </c:spPr>
  <c:txPr>
    <a:bodyPr/>
    <a:lstStyle/>
    <a:p>
      <a:pPr>
        <a:defRPr b="1">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'Max Pain'!$F$19</c:f>
              <c:strCache>
                <c:ptCount val="1"/>
                <c:pt idx="0">
                  <c:v>Max Pain</c:v>
                </c:pt>
              </c:strCache>
            </c:strRef>
          </c:tx>
          <c:spPr>
            <a:solidFill>
              <a:srgbClr val="FF0000"/>
            </a:solidFill>
            <a:ln>
              <a:noFill/>
            </a:ln>
            <a:effectLst>
              <a:outerShdw blurRad="57150" dist="19050" dir="5400000" algn="ctr" rotWithShape="0">
                <a:srgbClr val="000000">
                  <a:alpha val="63000"/>
                </a:srgbClr>
              </a:outerShdw>
            </a:effectLst>
          </c:spPr>
          <c:invertIfNegative val="0"/>
          <c:cat>
            <c:numRef>
              <c:f>'Max Pain'!$G$2:$G$17</c:f>
              <c:numCache>
                <c:formatCode>0</c:formatCode>
                <c:ptCount val="16"/>
                <c:pt idx="0">
                  <c:v>17750</c:v>
                </c:pt>
                <c:pt idx="1">
                  <c:v>17800</c:v>
                </c:pt>
                <c:pt idx="2">
                  <c:v>17850</c:v>
                </c:pt>
                <c:pt idx="3">
                  <c:v>17900</c:v>
                </c:pt>
                <c:pt idx="4">
                  <c:v>17950</c:v>
                </c:pt>
                <c:pt idx="5">
                  <c:v>18000</c:v>
                </c:pt>
                <c:pt idx="6">
                  <c:v>18050</c:v>
                </c:pt>
                <c:pt idx="7">
                  <c:v>18100</c:v>
                </c:pt>
                <c:pt idx="8">
                  <c:v>18150</c:v>
                </c:pt>
                <c:pt idx="9">
                  <c:v>18200</c:v>
                </c:pt>
                <c:pt idx="10">
                  <c:v>18250</c:v>
                </c:pt>
                <c:pt idx="11">
                  <c:v>18300</c:v>
                </c:pt>
                <c:pt idx="12">
                  <c:v>18350</c:v>
                </c:pt>
                <c:pt idx="13">
                  <c:v>18400</c:v>
                </c:pt>
                <c:pt idx="14">
                  <c:v>18450</c:v>
                </c:pt>
                <c:pt idx="15">
                  <c:v>18500</c:v>
                </c:pt>
              </c:numCache>
            </c:numRef>
          </c:cat>
          <c:val>
            <c:numRef>
              <c:f>'Max Pain'!$F$2:$F$17</c:f>
              <c:numCache>
                <c:formatCode>#,##0</c:formatCode>
                <c:ptCount val="16"/>
                <c:pt idx="0">
                  <c:v>23869526250</c:v>
                </c:pt>
                <c:pt idx="1">
                  <c:v>20008665000</c:v>
                </c:pt>
                <c:pt idx="2">
                  <c:v>16525942500</c:v>
                </c:pt>
                <c:pt idx="3">
                  <c:v>13181902500</c:v>
                </c:pt>
                <c:pt idx="4">
                  <c:v>10201061250</c:v>
                </c:pt>
                <c:pt idx="5">
                  <c:v>7416082500</c:v>
                </c:pt>
                <c:pt idx="6">
                  <c:v>5741662500</c:v>
                </c:pt>
                <c:pt idx="7">
                  <c:v>4324365000</c:v>
                </c:pt>
                <c:pt idx="8">
                  <c:v>3770685000</c:v>
                </c:pt>
                <c:pt idx="9">
                  <c:v>3543270000</c:v>
                </c:pt>
                <c:pt idx="10">
                  <c:v>4398056250</c:v>
                </c:pt>
                <c:pt idx="11">
                  <c:v>5858868750</c:v>
                </c:pt>
                <c:pt idx="12">
                  <c:v>8387658750</c:v>
                </c:pt>
                <c:pt idx="13">
                  <c:v>11166933750</c:v>
                </c:pt>
                <c:pt idx="14">
                  <c:v>14404916250</c:v>
                </c:pt>
                <c:pt idx="15">
                  <c:v>17935301250</c:v>
                </c:pt>
              </c:numCache>
            </c:numRef>
          </c:val>
          <c:extLst>
            <c:ext xmlns:c16="http://schemas.microsoft.com/office/drawing/2014/chart" uri="{C3380CC4-5D6E-409C-BE32-E72D297353CC}">
              <c16:uniqueId val="{00000000-FFFB-4D0F-B0B1-EE32B34759A3}"/>
            </c:ext>
          </c:extLst>
        </c:ser>
        <c:dLbls>
          <c:showLegendKey val="0"/>
          <c:showVal val="0"/>
          <c:showCatName val="0"/>
          <c:showSerName val="0"/>
          <c:showPercent val="0"/>
          <c:showBubbleSize val="0"/>
        </c:dLbls>
        <c:gapWidth val="100"/>
        <c:overlap val="-24"/>
        <c:axId val="388455664"/>
        <c:axId val="376281328"/>
      </c:barChart>
      <c:catAx>
        <c:axId val="388455664"/>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6281328"/>
        <c:crosses val="autoZero"/>
        <c:auto val="1"/>
        <c:lblAlgn val="ctr"/>
        <c:lblOffset val="100"/>
        <c:noMultiLvlLbl val="0"/>
      </c:catAx>
      <c:valAx>
        <c:axId val="376281328"/>
        <c:scaling>
          <c:orientation val="minMax"/>
        </c:scaling>
        <c:delete val="1"/>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crossAx val="38845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www.stockgeni.com/tools" TargetMode="External"/><Relationship Id="rId3" Type="http://schemas.openxmlformats.org/officeDocument/2006/relationships/hyperlink" Target="#'Max Pain'!A1"/><Relationship Id="rId7"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hyperlink" Target="#OptionAnalysis!A1"/><Relationship Id="rId5" Type="http://schemas.openxmlformats.org/officeDocument/2006/relationships/hyperlink" Target="#Main!A1"/><Relationship Id="rId10" Type="http://schemas.openxmlformats.org/officeDocument/2006/relationships/image" Target="../media/image4.png"/><Relationship Id="rId4" Type="http://schemas.openxmlformats.org/officeDocument/2006/relationships/hyperlink" Target="#'Intraday Chart'!A1"/><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hyperlink" Target="#'Intraday Chart'!A1"/><Relationship Id="rId7" Type="http://schemas.openxmlformats.org/officeDocument/2006/relationships/image" Target="../media/image5.png"/><Relationship Id="rId2" Type="http://schemas.openxmlformats.org/officeDocument/2006/relationships/hyperlink" Target="#'Max Pain'!A1"/><Relationship Id="rId1" Type="http://schemas.openxmlformats.org/officeDocument/2006/relationships/hyperlink" Target="#Main!A1"/><Relationship Id="rId6" Type="http://schemas.openxmlformats.org/officeDocument/2006/relationships/hyperlink" Target="https://www.stockgeni.com/tools" TargetMode="External"/><Relationship Id="rId5" Type="http://schemas.openxmlformats.org/officeDocument/2006/relationships/chart" Target="../charts/chart1.xml"/><Relationship Id="rId4" Type="http://schemas.openxmlformats.org/officeDocument/2006/relationships/hyperlink" Target="#OptionAnalysis!A1"/></Relationships>
</file>

<file path=xl/drawings/_rels/drawing3.xml.rels><?xml version="1.0" encoding="UTF-8" standalone="yes"?>
<Relationships xmlns="http://schemas.openxmlformats.org/package/2006/relationships"><Relationship Id="rId3" Type="http://schemas.openxmlformats.org/officeDocument/2006/relationships/hyperlink" Target="#'Intraday Chart'!A1"/><Relationship Id="rId2" Type="http://schemas.openxmlformats.org/officeDocument/2006/relationships/hyperlink" Target="#'Max Pain'!A1"/><Relationship Id="rId1" Type="http://schemas.openxmlformats.org/officeDocument/2006/relationships/hyperlink" Target="#Dashboard!A1"/><Relationship Id="rId4"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hyperlink" Target="#OptionAnalysis!A1"/><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hyperlink" Target="#Main!A1"/><Relationship Id="rId5" Type="http://schemas.openxmlformats.org/officeDocument/2006/relationships/hyperlink" Target="#'Max Pain'!A1"/><Relationship Id="rId4" Type="http://schemas.openxmlformats.org/officeDocument/2006/relationships/hyperlink" Target="#Dashboard!A1"/></Relationships>
</file>

<file path=xl/drawings/_rels/drawing5.xml.rels><?xml version="1.0" encoding="UTF-8" standalone="yes"?>
<Relationships xmlns="http://schemas.openxmlformats.org/package/2006/relationships"><Relationship Id="rId3" Type="http://schemas.openxmlformats.org/officeDocument/2006/relationships/hyperlink" Target="#'Intraday Chart'!A1"/><Relationship Id="rId2" Type="http://schemas.openxmlformats.org/officeDocument/2006/relationships/hyperlink" Target="#Dashboard!A1"/><Relationship Id="rId1" Type="http://schemas.openxmlformats.org/officeDocument/2006/relationships/chart" Target="../charts/chart5.xml"/><Relationship Id="rId5" Type="http://schemas.openxmlformats.org/officeDocument/2006/relationships/hyperlink" Target="#OptionAnalysis!A1"/><Relationship Id="rId4"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25401</xdr:rowOff>
    </xdr:from>
    <xdr:to>
      <xdr:col>10</xdr:col>
      <xdr:colOff>423333</xdr:colOff>
      <xdr:row>2</xdr:row>
      <xdr:rowOff>220133</xdr:rowOff>
    </xdr:to>
    <xdr:grpSp>
      <xdr:nvGrpSpPr>
        <xdr:cNvPr id="10248" name="Group 10247">
          <a:extLst>
            <a:ext uri="{FF2B5EF4-FFF2-40B4-BE49-F238E27FC236}">
              <a16:creationId xmlns:a16="http://schemas.microsoft.com/office/drawing/2014/main" id="{00000000-0008-0000-0000-000008280000}"/>
            </a:ext>
          </a:extLst>
        </xdr:cNvPr>
        <xdr:cNvGrpSpPr/>
      </xdr:nvGrpSpPr>
      <xdr:grpSpPr>
        <a:xfrm>
          <a:off x="0" y="25401"/>
          <a:ext cx="9956800" cy="982132"/>
          <a:chOff x="0" y="25401"/>
          <a:chExt cx="9982200" cy="982132"/>
        </a:xfrm>
      </xdr:grpSpPr>
      <xdr:sp macro="" textlink="">
        <xdr:nvSpPr>
          <xdr:cNvPr id="43" name="Rectangle 42">
            <a:extLst>
              <a:ext uri="{FF2B5EF4-FFF2-40B4-BE49-F238E27FC236}">
                <a16:creationId xmlns:a16="http://schemas.microsoft.com/office/drawing/2014/main" id="{00000000-0008-0000-0000-00002B000000}"/>
              </a:ext>
            </a:extLst>
          </xdr:cNvPr>
          <xdr:cNvSpPr/>
        </xdr:nvSpPr>
        <xdr:spPr>
          <a:xfrm>
            <a:off x="0" y="25401"/>
            <a:ext cx="9982200" cy="982132"/>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ounded Rectangle 98">
            <a:hlinkClick xmlns:r="http://schemas.openxmlformats.org/officeDocument/2006/relationships" r:id="rId1" tooltip="Click here for Buy/Sell Signal"/>
            <a:extLst>
              <a:ext uri="{FF2B5EF4-FFF2-40B4-BE49-F238E27FC236}">
                <a16:creationId xmlns:a16="http://schemas.microsoft.com/office/drawing/2014/main" id="{00000000-0008-0000-0000-00000E000000}"/>
              </a:ext>
            </a:extLst>
          </xdr:cNvPr>
          <xdr:cNvSpPr/>
        </xdr:nvSpPr>
        <xdr:spPr>
          <a:xfrm>
            <a:off x="76369" y="101184"/>
            <a:ext cx="1800000" cy="79200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1" algn="ctr"/>
            <a:r>
              <a:rPr lang="en-US" sz="1300" b="1" baseline="0">
                <a:solidFill>
                  <a:schemeClr val="bg1"/>
                </a:solidFill>
              </a:rPr>
              <a:t>Dashboard</a:t>
            </a:r>
            <a:r>
              <a:rPr lang="en-US" sz="1300" b="1" baseline="0">
                <a:solidFill>
                  <a:schemeClr val="accent5">
                    <a:lumMod val="50000"/>
                  </a:schemeClr>
                </a:solidFill>
              </a:rPr>
              <a:t> </a:t>
            </a:r>
          </a:p>
          <a:p>
            <a:pPr lvl="1" algn="ctr"/>
            <a:r>
              <a:rPr lang="en-US" sz="1300" b="1" baseline="0">
                <a:solidFill>
                  <a:srgbClr val="0DE14A"/>
                </a:solidFill>
              </a:rPr>
              <a:t>BUY</a:t>
            </a:r>
            <a:r>
              <a:rPr lang="en-US" sz="1300" b="1" baseline="0">
                <a:solidFill>
                  <a:schemeClr val="accent5">
                    <a:lumMod val="50000"/>
                  </a:schemeClr>
                </a:solidFill>
              </a:rPr>
              <a:t> </a:t>
            </a:r>
            <a:r>
              <a:rPr lang="en-US" sz="1300" b="1" baseline="0">
                <a:solidFill>
                  <a:srgbClr val="FF0000"/>
                </a:solidFill>
              </a:rPr>
              <a:t>SELL</a:t>
            </a:r>
            <a:r>
              <a:rPr lang="en-US" sz="1300" b="1" baseline="0">
                <a:solidFill>
                  <a:schemeClr val="accent5">
                    <a:lumMod val="50000"/>
                  </a:schemeClr>
                </a:solidFill>
              </a:rPr>
              <a:t> </a:t>
            </a:r>
          </a:p>
          <a:p>
            <a:pPr lvl="1" algn="ctr"/>
            <a:r>
              <a:rPr lang="en-US" sz="1300" b="1" baseline="0">
                <a:solidFill>
                  <a:schemeClr val="bg1"/>
                </a:solidFill>
              </a:rPr>
              <a:t>Signal</a:t>
            </a:r>
            <a:r>
              <a:rPr lang="en-US" sz="1300">
                <a:solidFill>
                  <a:schemeClr val="accent5">
                    <a:lumMod val="50000"/>
                  </a:schemeClr>
                </a:solidFill>
              </a:rPr>
              <a:t> </a:t>
            </a:r>
          </a:p>
        </xdr:txBody>
      </xdr:sp>
      <xdr:pic>
        <xdr:nvPicPr>
          <xdr:cNvPr id="51" name="Picture 50">
            <a:hlinkClick xmlns:r="http://schemas.openxmlformats.org/officeDocument/2006/relationships" r:id="rId1" tooltip="Click here for Buy/Sell Signal"/>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271" y="172041"/>
            <a:ext cx="683316" cy="621870"/>
          </a:xfrm>
          <a:prstGeom prst="rect">
            <a:avLst/>
          </a:prstGeom>
          <a:solidFill>
            <a:schemeClr val="tx1">
              <a:lumMod val="85000"/>
              <a:lumOff val="15000"/>
            </a:schemeClr>
          </a:solidFill>
        </xdr:spPr>
      </xdr:pic>
      <xdr:sp macro="" textlink="">
        <xdr:nvSpPr>
          <xdr:cNvPr id="53" name="Rounded Rectangle 98">
            <a:hlinkClick xmlns:r="http://schemas.openxmlformats.org/officeDocument/2006/relationships" r:id="rId3" tooltip="Click here for MAX Pain"/>
            <a:extLst>
              <a:ext uri="{FF2B5EF4-FFF2-40B4-BE49-F238E27FC236}">
                <a16:creationId xmlns:a16="http://schemas.microsoft.com/office/drawing/2014/main" id="{00000000-0008-0000-0000-000035000000}"/>
              </a:ext>
            </a:extLst>
          </xdr:cNvPr>
          <xdr:cNvSpPr/>
        </xdr:nvSpPr>
        <xdr:spPr>
          <a:xfrm>
            <a:off x="3893913" y="126999"/>
            <a:ext cx="1800000" cy="79200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300" b="1" baseline="0">
                <a:solidFill>
                  <a:srgbClr val="FF0000"/>
                </a:solidFill>
                <a:latin typeface="Arial" panose="020B0604020202020204" pitchFamily="34" charset="0"/>
                <a:cs typeface="Arial" panose="020B0604020202020204" pitchFamily="34" charset="0"/>
              </a:rPr>
              <a:t>MAX Pain</a:t>
            </a:r>
            <a:r>
              <a:rPr lang="en-US" sz="1200" b="1" baseline="0">
                <a:solidFill>
                  <a:srgbClr val="FF0000"/>
                </a:solidFill>
              </a:rPr>
              <a:t> </a:t>
            </a:r>
            <a:r>
              <a:rPr lang="en-US" sz="1200">
                <a:solidFill>
                  <a:schemeClr val="accent5">
                    <a:lumMod val="50000"/>
                  </a:schemeClr>
                </a:solidFill>
              </a:rPr>
              <a:t>           </a:t>
            </a:r>
          </a:p>
        </xdr:txBody>
      </xdr:sp>
      <xdr:sp macro="" textlink="">
        <xdr:nvSpPr>
          <xdr:cNvPr id="56" name="Rounded Rectangle 98">
            <a:hlinkClick xmlns:r="http://schemas.openxmlformats.org/officeDocument/2006/relationships" r:id="rId4" tooltip="Click here for Intraday Chart"/>
            <a:extLst>
              <a:ext uri="{FF2B5EF4-FFF2-40B4-BE49-F238E27FC236}">
                <a16:creationId xmlns:a16="http://schemas.microsoft.com/office/drawing/2014/main" id="{00000000-0008-0000-0000-000038000000}"/>
              </a:ext>
            </a:extLst>
          </xdr:cNvPr>
          <xdr:cNvSpPr/>
        </xdr:nvSpPr>
        <xdr:spPr>
          <a:xfrm>
            <a:off x="5812720" y="108762"/>
            <a:ext cx="1800000" cy="792000"/>
          </a:xfrm>
          <a:prstGeom prst="roundRect">
            <a:avLst/>
          </a:prstGeom>
          <a:solidFill>
            <a:schemeClr val="bg1">
              <a:lumMod val="6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200" b="1" baseline="0">
                <a:solidFill>
                  <a:srgbClr val="002060"/>
                </a:solidFill>
                <a:latin typeface="Arial" panose="020B0604020202020204" pitchFamily="34" charset="0"/>
                <a:cs typeface="Arial" panose="020B0604020202020204" pitchFamily="34" charset="0"/>
              </a:rPr>
              <a:t>Intraday</a:t>
            </a:r>
            <a:r>
              <a:rPr lang="en-US" sz="1200" b="1" baseline="0">
                <a:solidFill>
                  <a:srgbClr val="002060"/>
                </a:solidFill>
              </a:rPr>
              <a:t> </a:t>
            </a:r>
            <a:r>
              <a:rPr lang="en-US" sz="1200" b="1">
                <a:solidFill>
                  <a:srgbClr val="002060"/>
                </a:solidFill>
              </a:rPr>
              <a:t> </a:t>
            </a:r>
          </a:p>
          <a:p>
            <a:pPr lvl="0" algn="ctr"/>
            <a:r>
              <a:rPr lang="en-US" sz="1200" b="1">
                <a:solidFill>
                  <a:srgbClr val="002060"/>
                </a:solidFill>
              </a:rPr>
              <a:t>Chart</a:t>
            </a:r>
          </a:p>
        </xdr:txBody>
      </xdr:sp>
      <xdr:sp macro="" textlink="">
        <xdr:nvSpPr>
          <xdr:cNvPr id="59" name="Rounded Rectangle 98">
            <a:hlinkClick xmlns:r="http://schemas.openxmlformats.org/officeDocument/2006/relationships" r:id="rId5" tooltip="Click here to Returnt to main page"/>
            <a:extLst>
              <a:ext uri="{FF2B5EF4-FFF2-40B4-BE49-F238E27FC236}">
                <a16:creationId xmlns:a16="http://schemas.microsoft.com/office/drawing/2014/main" id="{00000000-0008-0000-0000-00003B000000}"/>
              </a:ext>
            </a:extLst>
          </xdr:cNvPr>
          <xdr:cNvSpPr/>
        </xdr:nvSpPr>
        <xdr:spPr>
          <a:xfrm>
            <a:off x="7722231" y="95383"/>
            <a:ext cx="1800000" cy="792000"/>
          </a:xfrm>
          <a:prstGeom prst="roundRect">
            <a:avLst/>
          </a:prstGeom>
          <a:solidFill>
            <a:srgbClr val="FF3300"/>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30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sp macro="" textlink="">
        <xdr:nvSpPr>
          <xdr:cNvPr id="50" name="Rounded Rectangle 98">
            <a:hlinkClick xmlns:r="http://schemas.openxmlformats.org/officeDocument/2006/relationships" r:id="rId6" tooltip="Click here for Option Chain Analysis"/>
            <a:extLst>
              <a:ext uri="{FF2B5EF4-FFF2-40B4-BE49-F238E27FC236}">
                <a16:creationId xmlns:a16="http://schemas.microsoft.com/office/drawing/2014/main" id="{00000000-0008-0000-0000-000032000000}"/>
              </a:ext>
            </a:extLst>
          </xdr:cNvPr>
          <xdr:cNvSpPr/>
        </xdr:nvSpPr>
        <xdr:spPr>
          <a:xfrm>
            <a:off x="2005587" y="101184"/>
            <a:ext cx="1800000" cy="792000"/>
          </a:xfrm>
          <a:prstGeom prst="roundRect">
            <a:avLst/>
          </a:prstGeom>
          <a:solidFill>
            <a:schemeClr val="bg1">
              <a:lumMod val="7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1" algn="ctr"/>
            <a:r>
              <a:rPr lang="en-US" sz="1200" b="1" baseline="0">
                <a:solidFill>
                  <a:schemeClr val="accent5">
                    <a:lumMod val="50000"/>
                  </a:schemeClr>
                </a:solidFill>
              </a:rPr>
              <a:t> </a:t>
            </a:r>
            <a:r>
              <a:rPr lang="en-US" sz="1200" b="1" baseline="0">
                <a:solidFill>
                  <a:srgbClr val="002060"/>
                </a:solidFill>
              </a:rPr>
              <a:t>Option Chain Analysis</a:t>
            </a:r>
            <a:endParaRPr lang="en-US" sz="1200">
              <a:solidFill>
                <a:srgbClr val="002060"/>
              </a:solidFill>
            </a:endParaRPr>
          </a:p>
        </xdr:txBody>
      </xdr:sp>
    </xdr:grpSp>
    <xdr:clientData/>
  </xdr:twoCellAnchor>
  <xdr:twoCellAnchor>
    <xdr:from>
      <xdr:col>1</xdr:col>
      <xdr:colOff>1822083</xdr:colOff>
      <xdr:row>1</xdr:row>
      <xdr:rowOff>164059</xdr:rowOff>
    </xdr:from>
    <xdr:to>
      <xdr:col>3</xdr:col>
      <xdr:colOff>354307</xdr:colOff>
      <xdr:row>1</xdr:row>
      <xdr:rowOff>686966</xdr:rowOff>
    </xdr:to>
    <xdr:pic>
      <xdr:nvPicPr>
        <xdr:cNvPr id="90" name="Picture 89">
          <a:hlinkClick xmlns:r="http://schemas.openxmlformats.org/officeDocument/2006/relationships" r:id="rId6" tooltip="Click here for Option Chain Analysis"/>
          <a:extLst>
            <a:ext uri="{FF2B5EF4-FFF2-40B4-BE49-F238E27FC236}">
              <a16:creationId xmlns:a16="http://schemas.microsoft.com/office/drawing/2014/main" id="{00000000-0008-0000-0000-00005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084550" y="214859"/>
          <a:ext cx="589624" cy="522907"/>
        </a:xfrm>
        <a:prstGeom prst="rect">
          <a:avLst/>
        </a:prstGeom>
      </xdr:spPr>
    </xdr:pic>
    <xdr:clientData/>
  </xdr:twoCellAnchor>
  <xdr:twoCellAnchor>
    <xdr:from>
      <xdr:col>1</xdr:col>
      <xdr:colOff>76200</xdr:colOff>
      <xdr:row>40</xdr:row>
      <xdr:rowOff>45720</xdr:rowOff>
    </xdr:from>
    <xdr:to>
      <xdr:col>1</xdr:col>
      <xdr:colOff>1813560</xdr:colOff>
      <xdr:row>42</xdr:row>
      <xdr:rowOff>22860</xdr:rowOff>
    </xdr:to>
    <xdr:sp macro="" textlink="">
      <xdr:nvSpPr>
        <xdr:cNvPr id="93" name="Rectangle: Rounded Corners 92">
          <a:hlinkClick xmlns:r="http://schemas.openxmlformats.org/officeDocument/2006/relationships" r:id="rId8"/>
          <a:extLst>
            <a:ext uri="{FF2B5EF4-FFF2-40B4-BE49-F238E27FC236}">
              <a16:creationId xmlns:a16="http://schemas.microsoft.com/office/drawing/2014/main" id="{00000000-0008-0000-0000-00005D000000}"/>
            </a:ext>
          </a:extLst>
        </xdr:cNvPr>
        <xdr:cNvSpPr/>
      </xdr:nvSpPr>
      <xdr:spPr>
        <a:xfrm>
          <a:off x="76200" y="9456420"/>
          <a:ext cx="1737360" cy="342900"/>
        </a:xfrm>
        <a:prstGeom prst="roundRect">
          <a:avLst/>
        </a:prstGeom>
        <a:solidFill>
          <a:schemeClr val="accent5">
            <a:lumMod val="40000"/>
            <a:lumOff val="60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baseline="0">
              <a:solidFill>
                <a:srgbClr val="FF0000"/>
              </a:solidFill>
            </a:rPr>
            <a:t>Review</a:t>
          </a:r>
        </a:p>
      </xdr:txBody>
    </xdr:sp>
    <xdr:clientData/>
  </xdr:twoCellAnchor>
  <xdr:twoCellAnchor>
    <xdr:from>
      <xdr:col>11</xdr:col>
      <xdr:colOff>101600</xdr:colOff>
      <xdr:row>1</xdr:row>
      <xdr:rowOff>101599</xdr:rowOff>
    </xdr:from>
    <xdr:to>
      <xdr:col>19</xdr:col>
      <xdr:colOff>279399</xdr:colOff>
      <xdr:row>2</xdr:row>
      <xdr:rowOff>76199</xdr:rowOff>
    </xdr:to>
    <xdr:sp macro="" textlink="">
      <xdr:nvSpPr>
        <xdr:cNvPr id="10250" name="Double Wave 10249">
          <a:extLst>
            <a:ext uri="{FF2B5EF4-FFF2-40B4-BE49-F238E27FC236}">
              <a16:creationId xmlns:a16="http://schemas.microsoft.com/office/drawing/2014/main" id="{00000000-0008-0000-0000-00000A280000}"/>
            </a:ext>
          </a:extLst>
        </xdr:cNvPr>
        <xdr:cNvSpPr/>
      </xdr:nvSpPr>
      <xdr:spPr>
        <a:xfrm>
          <a:off x="10414000" y="152399"/>
          <a:ext cx="5054599" cy="711200"/>
        </a:xfrm>
        <a:prstGeom prst="doubleWave">
          <a:avLst/>
        </a:prstGeom>
        <a:solidFill>
          <a:schemeClr val="bg1">
            <a:lumMod val="9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baseline="0">
              <a:solidFill>
                <a:schemeClr val="accent5">
                  <a:lumMod val="50000"/>
                </a:schemeClr>
              </a:solidFill>
            </a:rPr>
            <a:t>Makes your analysis even Better.</a:t>
          </a:r>
        </a:p>
      </xdr:txBody>
    </xdr:sp>
    <xdr:clientData/>
  </xdr:twoCellAnchor>
  <xdr:twoCellAnchor editAs="oneCell">
    <xdr:from>
      <xdr:col>18</xdr:col>
      <xdr:colOff>143934</xdr:colOff>
      <xdr:row>1</xdr:row>
      <xdr:rowOff>160866</xdr:rowOff>
    </xdr:from>
    <xdr:to>
      <xdr:col>19</xdr:col>
      <xdr:colOff>123842</xdr:colOff>
      <xdr:row>2</xdr:row>
      <xdr:rowOff>69301</xdr:rowOff>
    </xdr:to>
    <xdr:pic>
      <xdr:nvPicPr>
        <xdr:cNvPr id="95" name="Picture 94">
          <a:extLst>
            <a:ext uri="{FF2B5EF4-FFF2-40B4-BE49-F238E27FC236}">
              <a16:creationId xmlns:a16="http://schemas.microsoft.com/office/drawing/2014/main" id="{00000000-0008-0000-0000-00005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4723534" y="211666"/>
          <a:ext cx="589508" cy="645035"/>
        </a:xfrm>
        <a:prstGeom prst="rect">
          <a:avLst/>
        </a:prstGeom>
      </xdr:spPr>
    </xdr:pic>
    <xdr:clientData/>
  </xdr:twoCellAnchor>
  <xdr:twoCellAnchor>
    <xdr:from>
      <xdr:col>10</xdr:col>
      <xdr:colOff>408093</xdr:colOff>
      <xdr:row>6</xdr:row>
      <xdr:rowOff>135466</xdr:rowOff>
    </xdr:from>
    <xdr:to>
      <xdr:col>17</xdr:col>
      <xdr:colOff>354753</xdr:colOff>
      <xdr:row>23</xdr:row>
      <xdr:rowOff>104985</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9941560" y="1955799"/>
          <a:ext cx="4357793" cy="4406053"/>
          <a:chOff x="9966960" y="1955799"/>
          <a:chExt cx="4357793" cy="4406053"/>
        </a:xfrm>
      </xdr:grpSpPr>
      <xdr:pic>
        <xdr:nvPicPr>
          <xdr:cNvPr id="87" name="Picture 86">
            <a:extLst>
              <a:ext uri="{FF2B5EF4-FFF2-40B4-BE49-F238E27FC236}">
                <a16:creationId xmlns:a16="http://schemas.microsoft.com/office/drawing/2014/main" id="{00000000-0008-0000-0000-00005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966960" y="1955799"/>
            <a:ext cx="4357793" cy="4406053"/>
          </a:xfrm>
          <a:prstGeom prst="rect">
            <a:avLst/>
          </a:prstGeom>
        </xdr:spPr>
      </xdr:pic>
      <xdr:sp macro="" textlink="">
        <xdr:nvSpPr>
          <xdr:cNvPr id="3" name="Rectangle 2">
            <a:extLst>
              <a:ext uri="{FF2B5EF4-FFF2-40B4-BE49-F238E27FC236}">
                <a16:creationId xmlns:a16="http://schemas.microsoft.com/office/drawing/2014/main" id="{00000000-0008-0000-0000-000003000000}"/>
              </a:ext>
            </a:extLst>
          </xdr:cNvPr>
          <xdr:cNvSpPr/>
        </xdr:nvSpPr>
        <xdr:spPr>
          <a:xfrm>
            <a:off x="12490231" y="3260752"/>
            <a:ext cx="1589836" cy="937629"/>
          </a:xfrm>
          <a:prstGeom prst="rect">
            <a:avLst/>
          </a:prstGeom>
          <a:noFill/>
        </xdr:spPr>
        <xdr:txBody>
          <a:bodyPr wrap="square" lIns="91440" tIns="45720" rIns="91440" bIns="45720">
            <a:noAutofit/>
          </a:bodyPr>
          <a:lstStyle/>
          <a:p>
            <a:pPr algn="ctr"/>
            <a:r>
              <a:rPr lang="en-IN" sz="5400" b="1" cap="none" spc="0">
                <a:ln w="9525">
                  <a:solidFill>
                    <a:schemeClr val="bg1"/>
                  </a:solidFill>
                  <a:prstDash val="solid"/>
                </a:ln>
                <a:solidFill>
                  <a:srgbClr val="0DE14A"/>
                </a:solidFill>
                <a:effectLst>
                  <a:outerShdw blurRad="12700" dist="38100" dir="2700000" algn="tl" rotWithShape="0">
                    <a:schemeClr val="accent5">
                      <a:lumMod val="60000"/>
                      <a:lumOff val="40000"/>
                    </a:schemeClr>
                  </a:outerShdw>
                </a:effectLst>
              </a:rPr>
              <a:t>BUY</a:t>
            </a:r>
          </a:p>
        </xdr:txBody>
      </xdr:sp>
      <xdr:sp macro="" textlink="">
        <xdr:nvSpPr>
          <xdr:cNvPr id="17" name="Rectangle 16">
            <a:extLst>
              <a:ext uri="{FF2B5EF4-FFF2-40B4-BE49-F238E27FC236}">
                <a16:creationId xmlns:a16="http://schemas.microsoft.com/office/drawing/2014/main" id="{00000000-0008-0000-0000-000011000000}"/>
              </a:ext>
            </a:extLst>
          </xdr:cNvPr>
          <xdr:cNvSpPr/>
        </xdr:nvSpPr>
        <xdr:spPr>
          <a:xfrm>
            <a:off x="12075364" y="4175153"/>
            <a:ext cx="1818435" cy="937629"/>
          </a:xfrm>
          <a:prstGeom prst="rect">
            <a:avLst/>
          </a:prstGeom>
          <a:noFill/>
        </xdr:spPr>
        <xdr:txBody>
          <a:bodyPr wrap="square" lIns="91440" tIns="45720" rIns="91440" bIns="45720">
            <a:noAutofit/>
          </a:bodyPr>
          <a:lstStyle/>
          <a:p>
            <a:pPr algn="ctr"/>
            <a:r>
              <a:rPr lang="en-IN" sz="5400" b="1" cap="none" spc="0">
                <a:ln w="9525">
                  <a:solidFill>
                    <a:schemeClr val="bg1"/>
                  </a:solidFill>
                  <a:prstDash val="solid"/>
                </a:ln>
                <a:solidFill>
                  <a:srgbClr val="FF0000"/>
                </a:solidFill>
                <a:effectLst>
                  <a:outerShdw blurRad="12700" dist="38100" dir="2700000" algn="tl" rotWithShape="0">
                    <a:schemeClr val="accent5">
                      <a:lumMod val="60000"/>
                      <a:lumOff val="40000"/>
                    </a:schemeClr>
                  </a:outerShdw>
                </a:effectLst>
              </a:rPr>
              <a:t>SELL</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487680</xdr:colOff>
      <xdr:row>1</xdr:row>
      <xdr:rowOff>38100</xdr:rowOff>
    </xdr:to>
    <xdr:sp macro="" textlink="">
      <xdr:nvSpPr>
        <xdr:cNvPr id="17" name="Rectangle 16">
          <a:extLst>
            <a:ext uri="{FF2B5EF4-FFF2-40B4-BE49-F238E27FC236}">
              <a16:creationId xmlns:a16="http://schemas.microsoft.com/office/drawing/2014/main" id="{00000000-0008-0000-0100-000011000000}"/>
            </a:ext>
          </a:extLst>
        </xdr:cNvPr>
        <xdr:cNvSpPr/>
      </xdr:nvSpPr>
      <xdr:spPr>
        <a:xfrm>
          <a:off x="0" y="0"/>
          <a:ext cx="4564380" cy="51816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68580</xdr:colOff>
          <xdr:row>2</xdr:row>
          <xdr:rowOff>30480</xdr:rowOff>
        </xdr:from>
        <xdr:to>
          <xdr:col>15</xdr:col>
          <xdr:colOff>502920</xdr:colOff>
          <xdr:row>2</xdr:row>
          <xdr:rowOff>350520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FF00"/>
                  </a:solidFill>
                  <a:latin typeface="Calibri"/>
                  <a:cs typeface="Calibri"/>
                </a:rPr>
                <a:t>Start Timer</a:t>
              </a:r>
            </a:p>
            <a:p>
              <a:pPr algn="ctr" rtl="0">
                <a:defRPr sz="1000"/>
              </a:pPr>
              <a:endParaRPr lang="en-US" sz="1600" b="1" i="0" u="none" strike="noStrike" baseline="0">
                <a:solidFill>
                  <a:srgbClr val="00FF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3</xdr:row>
          <xdr:rowOff>99060</xdr:rowOff>
        </xdr:from>
        <xdr:to>
          <xdr:col>15</xdr:col>
          <xdr:colOff>518160</xdr:colOff>
          <xdr:row>3</xdr:row>
          <xdr:rowOff>419100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FF0000"/>
                  </a:solidFill>
                  <a:latin typeface="Calibri"/>
                  <a:cs typeface="Calibri"/>
                </a:rPr>
                <a:t>Stop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83820</xdr:colOff>
          <xdr:row>4</xdr:row>
          <xdr:rowOff>106680</xdr:rowOff>
        </xdr:from>
        <xdr:to>
          <xdr:col>15</xdr:col>
          <xdr:colOff>533400</xdr:colOff>
          <xdr:row>6</xdr:row>
          <xdr:rowOff>83820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Clear Data</a:t>
              </a:r>
            </a:p>
          </xdr:txBody>
        </xdr:sp>
        <xdr:clientData fPrintsWithSheet="0"/>
      </xdr:twoCellAnchor>
    </mc:Choice>
    <mc:Fallback/>
  </mc:AlternateContent>
  <xdr:twoCellAnchor>
    <xdr:from>
      <xdr:col>0</xdr:col>
      <xdr:colOff>15240</xdr:colOff>
      <xdr:row>0</xdr:row>
      <xdr:rowOff>53340</xdr:rowOff>
    </xdr:from>
    <xdr:to>
      <xdr:col>1</xdr:col>
      <xdr:colOff>670560</xdr:colOff>
      <xdr:row>0</xdr:row>
      <xdr:rowOff>426720</xdr:rowOff>
    </xdr:to>
    <xdr:sp macro="" textlink="">
      <xdr:nvSpPr>
        <xdr:cNvPr id="13" name="Rounded Rectangle 98">
          <a:hlinkClick xmlns:r="http://schemas.openxmlformats.org/officeDocument/2006/relationships" r:id="rId1" tooltip="Click here to Returnt to main page"/>
          <a:extLst>
            <a:ext uri="{FF2B5EF4-FFF2-40B4-BE49-F238E27FC236}">
              <a16:creationId xmlns:a16="http://schemas.microsoft.com/office/drawing/2014/main" id="{00000000-0008-0000-0100-00000D000000}"/>
            </a:ext>
          </a:extLst>
        </xdr:cNvPr>
        <xdr:cNvSpPr/>
      </xdr:nvSpPr>
      <xdr:spPr>
        <a:xfrm>
          <a:off x="15240" y="53340"/>
          <a:ext cx="807720" cy="373380"/>
        </a:xfrm>
        <a:prstGeom prst="roundRect">
          <a:avLst/>
        </a:prstGeom>
        <a:solidFill>
          <a:srgbClr val="F9300F"/>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clientData/>
  </xdr:twoCellAnchor>
  <xdr:twoCellAnchor>
    <xdr:from>
      <xdr:col>5</xdr:col>
      <xdr:colOff>89180</xdr:colOff>
      <xdr:row>0</xdr:row>
      <xdr:rowOff>83820</xdr:rowOff>
    </xdr:from>
    <xdr:to>
      <xdr:col>6</xdr:col>
      <xdr:colOff>396240</xdr:colOff>
      <xdr:row>0</xdr:row>
      <xdr:rowOff>350520</xdr:rowOff>
    </xdr:to>
    <xdr:sp macro="" textlink="">
      <xdr:nvSpPr>
        <xdr:cNvPr id="14" name="Rounded Rectangle 98">
          <a:hlinkClick xmlns:r="http://schemas.openxmlformats.org/officeDocument/2006/relationships" r:id="rId2" tooltip="Click here for MAX Pain"/>
          <a:extLst>
            <a:ext uri="{FF2B5EF4-FFF2-40B4-BE49-F238E27FC236}">
              <a16:creationId xmlns:a16="http://schemas.microsoft.com/office/drawing/2014/main" id="{00000000-0008-0000-0100-00000E000000}"/>
            </a:ext>
          </a:extLst>
        </xdr:cNvPr>
        <xdr:cNvSpPr/>
      </xdr:nvSpPr>
      <xdr:spPr>
        <a:xfrm>
          <a:off x="3556280" y="83820"/>
          <a:ext cx="916660" cy="26670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100" b="1" baseline="0">
              <a:solidFill>
                <a:srgbClr val="FF0000"/>
              </a:solidFill>
              <a:latin typeface="Arial" panose="020B0604020202020204" pitchFamily="34" charset="0"/>
              <a:cs typeface="Arial" panose="020B0604020202020204" pitchFamily="34" charset="0"/>
            </a:rPr>
            <a:t>MAX</a:t>
          </a:r>
          <a:r>
            <a:rPr lang="en-US" sz="1400" b="1" baseline="0">
              <a:solidFill>
                <a:srgbClr val="FF0000"/>
              </a:solidFill>
              <a:latin typeface="Arial" panose="020B0604020202020204" pitchFamily="34" charset="0"/>
              <a:cs typeface="Arial" panose="020B0604020202020204" pitchFamily="34" charset="0"/>
            </a:rPr>
            <a:t> </a:t>
          </a:r>
          <a:r>
            <a:rPr lang="en-US" sz="1100" b="1" baseline="0">
              <a:solidFill>
                <a:srgbClr val="FF0000"/>
              </a:solidFill>
              <a:latin typeface="Arial" panose="020B0604020202020204" pitchFamily="34" charset="0"/>
              <a:cs typeface="Arial" panose="020B0604020202020204" pitchFamily="34" charset="0"/>
            </a:rPr>
            <a:t>Pain</a:t>
          </a:r>
          <a:r>
            <a:rPr lang="en-US" sz="1200">
              <a:solidFill>
                <a:schemeClr val="accent5">
                  <a:lumMod val="50000"/>
                </a:schemeClr>
              </a:solidFill>
            </a:rPr>
            <a:t>           </a:t>
          </a:r>
        </a:p>
      </xdr:txBody>
    </xdr:sp>
    <xdr:clientData/>
  </xdr:twoCellAnchor>
  <xdr:twoCellAnchor>
    <xdr:from>
      <xdr:col>3</xdr:col>
      <xdr:colOff>182880</xdr:colOff>
      <xdr:row>0</xdr:row>
      <xdr:rowOff>76200</xdr:rowOff>
    </xdr:from>
    <xdr:to>
      <xdr:col>5</xdr:col>
      <xdr:colOff>45720</xdr:colOff>
      <xdr:row>0</xdr:row>
      <xdr:rowOff>373380</xdr:rowOff>
    </xdr:to>
    <xdr:sp macro="" textlink="">
      <xdr:nvSpPr>
        <xdr:cNvPr id="15" name="Rounded Rectangle 98">
          <a:hlinkClick xmlns:r="http://schemas.openxmlformats.org/officeDocument/2006/relationships" r:id="rId3" tooltip="Click here for Intraday Chart"/>
          <a:extLst>
            <a:ext uri="{FF2B5EF4-FFF2-40B4-BE49-F238E27FC236}">
              <a16:creationId xmlns:a16="http://schemas.microsoft.com/office/drawing/2014/main" id="{00000000-0008-0000-0100-00000F000000}"/>
            </a:ext>
          </a:extLst>
        </xdr:cNvPr>
        <xdr:cNvSpPr/>
      </xdr:nvSpPr>
      <xdr:spPr>
        <a:xfrm>
          <a:off x="2392680" y="76200"/>
          <a:ext cx="1120140" cy="297180"/>
        </a:xfrm>
        <a:prstGeom prst="roundRect">
          <a:avLst/>
        </a:prstGeom>
        <a:solidFill>
          <a:schemeClr val="bg1">
            <a:lumMod val="6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050" b="1" baseline="0">
              <a:solidFill>
                <a:srgbClr val="002060"/>
              </a:solidFill>
              <a:latin typeface="Arial" panose="020B0604020202020204" pitchFamily="34" charset="0"/>
              <a:cs typeface="Arial" panose="020B0604020202020204" pitchFamily="34" charset="0"/>
            </a:rPr>
            <a:t>Intraday</a:t>
          </a:r>
          <a:r>
            <a:rPr lang="en-US" sz="1050" b="1" baseline="0">
              <a:solidFill>
                <a:srgbClr val="002060"/>
              </a:solidFill>
              <a:latin typeface="+mn-lt"/>
              <a:cs typeface="+mn-cs"/>
            </a:rPr>
            <a:t> </a:t>
          </a:r>
          <a:r>
            <a:rPr lang="en-US" sz="1050" b="1">
              <a:solidFill>
                <a:srgbClr val="002060"/>
              </a:solidFill>
            </a:rPr>
            <a:t>Chart</a:t>
          </a:r>
        </a:p>
      </xdr:txBody>
    </xdr:sp>
    <xdr:clientData/>
  </xdr:twoCellAnchor>
  <xdr:twoCellAnchor>
    <xdr:from>
      <xdr:col>1</xdr:col>
      <xdr:colOff>701040</xdr:colOff>
      <xdr:row>0</xdr:row>
      <xdr:rowOff>76200</xdr:rowOff>
    </xdr:from>
    <xdr:to>
      <xdr:col>3</xdr:col>
      <xdr:colOff>152400</xdr:colOff>
      <xdr:row>0</xdr:row>
      <xdr:rowOff>381000</xdr:rowOff>
    </xdr:to>
    <xdr:sp macro="" textlink="">
      <xdr:nvSpPr>
        <xdr:cNvPr id="16" name="Rounded Rectangle 98">
          <a:hlinkClick xmlns:r="http://schemas.openxmlformats.org/officeDocument/2006/relationships" r:id="rId4" tooltip="Click here for Option Chain Analysis"/>
          <a:extLst>
            <a:ext uri="{FF2B5EF4-FFF2-40B4-BE49-F238E27FC236}">
              <a16:creationId xmlns:a16="http://schemas.microsoft.com/office/drawing/2014/main" id="{00000000-0008-0000-0100-000010000000}"/>
            </a:ext>
          </a:extLst>
        </xdr:cNvPr>
        <xdr:cNvSpPr/>
      </xdr:nvSpPr>
      <xdr:spPr>
        <a:xfrm>
          <a:off x="853440" y="76200"/>
          <a:ext cx="1508760" cy="304800"/>
        </a:xfrm>
        <a:prstGeom prst="roundRect">
          <a:avLst/>
        </a:prstGeom>
        <a:solidFill>
          <a:schemeClr val="accent2"/>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100" b="1" baseline="0">
              <a:solidFill>
                <a:sysClr val="windowText" lastClr="000000"/>
              </a:solidFill>
            </a:rPr>
            <a:t>Option Chain Analysis</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13</xdr:col>
          <xdr:colOff>182880</xdr:colOff>
          <xdr:row>0</xdr:row>
          <xdr:rowOff>83820</xdr:rowOff>
        </xdr:from>
        <xdr:to>
          <xdr:col>15</xdr:col>
          <xdr:colOff>403860</xdr:colOff>
          <xdr:row>1</xdr:row>
          <xdr:rowOff>76200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FF0000"/>
                  </a:solidFill>
                  <a:latin typeface="Calibri"/>
                  <a:cs typeface="Calibri"/>
                </a:rPr>
                <a:t>REFRESH</a:t>
              </a:r>
            </a:p>
          </xdr:txBody>
        </xdr:sp>
        <xdr:clientData fPrintsWithSheet="0"/>
      </xdr:twoCellAnchor>
    </mc:Choice>
    <mc:Fallback/>
  </mc:AlternateContent>
  <xdr:twoCellAnchor>
    <xdr:from>
      <xdr:col>12</xdr:col>
      <xdr:colOff>274320</xdr:colOff>
      <xdr:row>22</xdr:row>
      <xdr:rowOff>175260</xdr:rowOff>
    </xdr:from>
    <xdr:to>
      <xdr:col>15</xdr:col>
      <xdr:colOff>396240</xdr:colOff>
      <xdr:row>45</xdr:row>
      <xdr:rowOff>190500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10</xdr:col>
          <xdr:colOff>144780</xdr:colOff>
          <xdr:row>16</xdr:row>
          <xdr:rowOff>83820</xdr:rowOff>
        </xdr:from>
        <xdr:to>
          <xdr:col>11</xdr:col>
          <xdr:colOff>327660</xdr:colOff>
          <xdr:row>17</xdr:row>
          <xdr:rowOff>121920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8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xdr:colOff>
          <xdr:row>18</xdr:row>
          <xdr:rowOff>60960</xdr:rowOff>
        </xdr:from>
        <xdr:to>
          <xdr:col>11</xdr:col>
          <xdr:colOff>327660</xdr:colOff>
          <xdr:row>19</xdr:row>
          <xdr:rowOff>114300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20</xdr:row>
          <xdr:rowOff>76200</xdr:rowOff>
        </xdr:from>
        <xdr:to>
          <xdr:col>11</xdr:col>
          <xdr:colOff>312420</xdr:colOff>
          <xdr:row>21</xdr:row>
          <xdr:rowOff>137160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6600"/>
                  </a:solidFill>
                  <a:latin typeface="Calibri"/>
                  <a:cs typeface="Calibri"/>
                </a:rPr>
                <a:t>Clear</a:t>
              </a:r>
            </a:p>
          </xdr:txBody>
        </xdr:sp>
        <xdr:clientData fPrintsWithSheet="0"/>
      </xdr:twoCellAnchor>
    </mc:Choice>
    <mc:Fallback/>
  </mc:AlternateContent>
  <xdr:twoCellAnchor>
    <xdr:from>
      <xdr:col>9</xdr:col>
      <xdr:colOff>22860</xdr:colOff>
      <xdr:row>15</xdr:row>
      <xdr:rowOff>167640</xdr:rowOff>
    </xdr:from>
    <xdr:to>
      <xdr:col>9</xdr:col>
      <xdr:colOff>320040</xdr:colOff>
      <xdr:row>16</xdr:row>
      <xdr:rowOff>152400</xdr:rowOff>
    </xdr:to>
    <xdr:sp macro="" textlink="">
      <xdr:nvSpPr>
        <xdr:cNvPr id="3" name="Arrow: Bent 2">
          <a:extLst>
            <a:ext uri="{FF2B5EF4-FFF2-40B4-BE49-F238E27FC236}">
              <a16:creationId xmlns:a16="http://schemas.microsoft.com/office/drawing/2014/main" id="{00000000-0008-0000-0100-000003000000}"/>
            </a:ext>
          </a:extLst>
        </xdr:cNvPr>
        <xdr:cNvSpPr/>
      </xdr:nvSpPr>
      <xdr:spPr>
        <a:xfrm rot="10800000">
          <a:off x="5737860" y="3985260"/>
          <a:ext cx="297180" cy="190500"/>
        </a:xfrm>
        <a:prstGeom prst="bentArrow">
          <a:avLst/>
        </a:prstGeom>
        <a:solidFill>
          <a:schemeClr val="accent5">
            <a:lumMod val="40000"/>
            <a:lumOff val="60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300" b="1" baseline="0">
            <a:solidFill>
              <a:schemeClr val="accent5">
                <a:lumMod val="50000"/>
              </a:schemeClr>
            </a:solidFill>
          </a:endParaRPr>
        </a:p>
      </xdr:txBody>
    </xdr:sp>
    <xdr:clientData/>
  </xdr:twoCellAnchor>
  <xdr:twoCellAnchor editAs="oneCell">
    <xdr:from>
      <xdr:col>13</xdr:col>
      <xdr:colOff>60961</xdr:colOff>
      <xdr:row>14</xdr:row>
      <xdr:rowOff>94406</xdr:rowOff>
    </xdr:from>
    <xdr:to>
      <xdr:col>15</xdr:col>
      <xdr:colOff>76200</xdr:colOff>
      <xdr:row>21</xdr:row>
      <xdr:rowOff>14252</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534401" y="3721526"/>
          <a:ext cx="1234439" cy="13507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18</xdr:col>
      <xdr:colOff>274320</xdr:colOff>
      <xdr:row>2</xdr:row>
      <xdr:rowOff>15240</xdr:rowOff>
    </xdr:from>
    <xdr:to>
      <xdr:col>20</xdr:col>
      <xdr:colOff>403860</xdr:colOff>
      <xdr:row>11</xdr:row>
      <xdr:rowOff>182880</xdr:rowOff>
    </xdr:to>
    <xdr:sp macro="" textlink="">
      <xdr:nvSpPr>
        <xdr:cNvPr id="11" name="Rectangle 10">
          <a:extLst>
            <a:ext uri="{FF2B5EF4-FFF2-40B4-BE49-F238E27FC236}">
              <a16:creationId xmlns:a16="http://schemas.microsoft.com/office/drawing/2014/main" id="{00000000-0008-0000-0300-00000B000000}"/>
            </a:ext>
          </a:extLst>
        </xdr:cNvPr>
        <xdr:cNvSpPr/>
      </xdr:nvSpPr>
      <xdr:spPr>
        <a:xfrm>
          <a:off x="12291060" y="388620"/>
          <a:ext cx="1348740" cy="208026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xdr:col>
          <xdr:colOff>68580</xdr:colOff>
          <xdr:row>1</xdr:row>
          <xdr:rowOff>0</xdr:rowOff>
        </xdr:from>
        <xdr:to>
          <xdr:col>2</xdr:col>
          <xdr:colOff>792480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Refresh Manually</a:t>
              </a:r>
            </a:p>
          </xdr:txBody>
        </xdr:sp>
        <xdr:clientData fPrintsWithSheet="0"/>
      </xdr:twoCellAnchor>
    </mc:Choice>
    <mc:Fallback/>
  </mc:AlternateContent>
  <xdr:twoCellAnchor>
    <xdr:from>
      <xdr:col>18</xdr:col>
      <xdr:colOff>358140</xdr:colOff>
      <xdr:row>2</xdr:row>
      <xdr:rowOff>76201</xdr:rowOff>
    </xdr:from>
    <xdr:to>
      <xdr:col>20</xdr:col>
      <xdr:colOff>297180</xdr:colOff>
      <xdr:row>4</xdr:row>
      <xdr:rowOff>83821</xdr:rowOff>
    </xdr:to>
    <xdr:sp macro="" textlink="">
      <xdr:nvSpPr>
        <xdr:cNvPr id="3" name="Rounded Rectangle 98">
          <a:hlinkClick xmlns:r="http://schemas.openxmlformats.org/officeDocument/2006/relationships" r:id="rId1" tooltip="Return to Dashboard"/>
          <a:extLst>
            <a:ext uri="{FF2B5EF4-FFF2-40B4-BE49-F238E27FC236}">
              <a16:creationId xmlns:a16="http://schemas.microsoft.com/office/drawing/2014/main" id="{00000000-0008-0000-0300-000003000000}"/>
            </a:ext>
          </a:extLst>
        </xdr:cNvPr>
        <xdr:cNvSpPr/>
      </xdr:nvSpPr>
      <xdr:spPr>
        <a:xfrm>
          <a:off x="12374880" y="449581"/>
          <a:ext cx="1158240" cy="381000"/>
        </a:xfrm>
        <a:prstGeom prst="roundRect">
          <a:avLst/>
        </a:prstGeom>
        <a:solidFill>
          <a:srgbClr val="FF412D"/>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300" b="1" baseline="0">
              <a:solidFill>
                <a:schemeClr val="bg1"/>
              </a:solidFill>
              <a:latin typeface="Arial" panose="020B0604020202020204" pitchFamily="34" charset="0"/>
              <a:cs typeface="Arial" panose="020B0604020202020204" pitchFamily="34" charset="0"/>
            </a:rPr>
            <a:t>Dashboard</a:t>
          </a:r>
          <a:r>
            <a:rPr lang="en-US" sz="1300">
              <a:solidFill>
                <a:schemeClr val="bg1"/>
              </a:solidFill>
            </a:rPr>
            <a:t>  </a:t>
          </a:r>
          <a:r>
            <a:rPr lang="en-US" sz="1200">
              <a:solidFill>
                <a:schemeClr val="bg1"/>
              </a:solidFill>
            </a:rPr>
            <a:t>         </a:t>
          </a:r>
        </a:p>
      </xdr:txBody>
    </xdr:sp>
    <xdr:clientData/>
  </xdr:twoCellAnchor>
  <xdr:twoCellAnchor>
    <xdr:from>
      <xdr:col>18</xdr:col>
      <xdr:colOff>447320</xdr:colOff>
      <xdr:row>7</xdr:row>
      <xdr:rowOff>0</xdr:rowOff>
    </xdr:from>
    <xdr:to>
      <xdr:col>20</xdr:col>
      <xdr:colOff>281940</xdr:colOff>
      <xdr:row>8</xdr:row>
      <xdr:rowOff>129540</xdr:rowOff>
    </xdr:to>
    <xdr:sp macro="" textlink="">
      <xdr:nvSpPr>
        <xdr:cNvPr id="7" name="Rounded Rectangle 98">
          <a:hlinkClick xmlns:r="http://schemas.openxmlformats.org/officeDocument/2006/relationships" r:id="rId2" tooltip="Click here for MAX Pain"/>
          <a:extLst>
            <a:ext uri="{FF2B5EF4-FFF2-40B4-BE49-F238E27FC236}">
              <a16:creationId xmlns:a16="http://schemas.microsoft.com/office/drawing/2014/main" id="{00000000-0008-0000-0300-000007000000}"/>
            </a:ext>
          </a:extLst>
        </xdr:cNvPr>
        <xdr:cNvSpPr/>
      </xdr:nvSpPr>
      <xdr:spPr>
        <a:xfrm>
          <a:off x="12464060" y="1493520"/>
          <a:ext cx="1053820" cy="32766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400" b="1" baseline="0">
              <a:solidFill>
                <a:srgbClr val="FF0000"/>
              </a:solidFill>
              <a:latin typeface="Arial" panose="020B0604020202020204" pitchFamily="34" charset="0"/>
              <a:cs typeface="Arial" panose="020B0604020202020204" pitchFamily="34" charset="0"/>
            </a:rPr>
            <a:t>MAX Pain</a:t>
          </a:r>
          <a:r>
            <a:rPr lang="en-US" sz="1800" b="1" baseline="0">
              <a:solidFill>
                <a:srgbClr val="FF0000"/>
              </a:solidFill>
            </a:rPr>
            <a:t> </a:t>
          </a:r>
          <a:r>
            <a:rPr lang="en-US" sz="1200">
              <a:solidFill>
                <a:schemeClr val="accent5">
                  <a:lumMod val="50000"/>
                </a:schemeClr>
              </a:solidFill>
            </a:rPr>
            <a:t>           </a:t>
          </a:r>
        </a:p>
      </xdr:txBody>
    </xdr:sp>
    <xdr:clientData/>
  </xdr:twoCellAnchor>
  <xdr:twoCellAnchor>
    <xdr:from>
      <xdr:col>18</xdr:col>
      <xdr:colOff>350520</xdr:colOff>
      <xdr:row>4</xdr:row>
      <xdr:rowOff>220980</xdr:rowOff>
    </xdr:from>
    <xdr:to>
      <xdr:col>20</xdr:col>
      <xdr:colOff>335280</xdr:colOff>
      <xdr:row>6</xdr:row>
      <xdr:rowOff>38100</xdr:rowOff>
    </xdr:to>
    <xdr:sp macro="" textlink="">
      <xdr:nvSpPr>
        <xdr:cNvPr id="8" name="Rounded Rectangle 98">
          <a:hlinkClick xmlns:r="http://schemas.openxmlformats.org/officeDocument/2006/relationships" r:id="rId3" tooltip="Click here for Intraday Chart"/>
          <a:extLst>
            <a:ext uri="{FF2B5EF4-FFF2-40B4-BE49-F238E27FC236}">
              <a16:creationId xmlns:a16="http://schemas.microsoft.com/office/drawing/2014/main" id="{00000000-0008-0000-0300-000008000000}"/>
            </a:ext>
          </a:extLst>
        </xdr:cNvPr>
        <xdr:cNvSpPr/>
      </xdr:nvSpPr>
      <xdr:spPr>
        <a:xfrm>
          <a:off x="12367260" y="967740"/>
          <a:ext cx="1203960" cy="365760"/>
        </a:xfrm>
        <a:prstGeom prst="roundRect">
          <a:avLst/>
        </a:prstGeom>
        <a:solidFill>
          <a:srgbClr val="0DE14A"/>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200" b="1" baseline="0">
              <a:solidFill>
                <a:sysClr val="windowText" lastClr="000000"/>
              </a:solidFill>
              <a:latin typeface="Arial" panose="020B0604020202020204" pitchFamily="34" charset="0"/>
              <a:cs typeface="Arial" panose="020B0604020202020204" pitchFamily="34" charset="0"/>
            </a:rPr>
            <a:t>Intraday</a:t>
          </a:r>
          <a:r>
            <a:rPr lang="en-US" sz="1200" b="1" baseline="0">
              <a:solidFill>
                <a:sysClr val="windowText" lastClr="000000"/>
              </a:solidFill>
              <a:latin typeface="+mn-lt"/>
              <a:cs typeface="+mn-cs"/>
            </a:rPr>
            <a:t> </a:t>
          </a:r>
          <a:r>
            <a:rPr lang="en-US" sz="1200" b="1">
              <a:solidFill>
                <a:sysClr val="windowText" lastClr="000000"/>
              </a:solidFill>
            </a:rPr>
            <a:t>Chart</a:t>
          </a:r>
        </a:p>
      </xdr:txBody>
    </xdr:sp>
    <xdr:clientData/>
  </xdr:twoCellAnchor>
  <xdr:twoCellAnchor>
    <xdr:from>
      <xdr:col>18</xdr:col>
      <xdr:colOff>586740</xdr:colOff>
      <xdr:row>9</xdr:row>
      <xdr:rowOff>76200</xdr:rowOff>
    </xdr:from>
    <xdr:to>
      <xdr:col>20</xdr:col>
      <xdr:colOff>151064</xdr:colOff>
      <xdr:row>11</xdr:row>
      <xdr:rowOff>7620</xdr:rowOff>
    </xdr:to>
    <xdr:sp macro="" textlink="">
      <xdr:nvSpPr>
        <xdr:cNvPr id="10" name="Rounded Rectangle 98">
          <a:hlinkClick xmlns:r="http://schemas.openxmlformats.org/officeDocument/2006/relationships" r:id="rId4" tooltip="Click here to Returnt to main page"/>
          <a:extLst>
            <a:ext uri="{FF2B5EF4-FFF2-40B4-BE49-F238E27FC236}">
              <a16:creationId xmlns:a16="http://schemas.microsoft.com/office/drawing/2014/main" id="{00000000-0008-0000-0300-00000A000000}"/>
            </a:ext>
          </a:extLst>
        </xdr:cNvPr>
        <xdr:cNvSpPr/>
      </xdr:nvSpPr>
      <xdr:spPr>
        <a:xfrm>
          <a:off x="12603480" y="1965960"/>
          <a:ext cx="783524" cy="327660"/>
        </a:xfrm>
        <a:prstGeom prst="roundRect">
          <a:avLst/>
        </a:prstGeom>
        <a:solidFill>
          <a:srgbClr val="FF3300"/>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20</xdr:col>
      <xdr:colOff>22860</xdr:colOff>
      <xdr:row>3</xdr:row>
      <xdr:rowOff>38100</xdr:rowOff>
    </xdr:from>
    <xdr:to>
      <xdr:col>22</xdr:col>
      <xdr:colOff>441960</xdr:colOff>
      <xdr:row>15</xdr:row>
      <xdr:rowOff>22860</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12214860" y="601980"/>
          <a:ext cx="1638300" cy="217932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68580</xdr:rowOff>
    </xdr:from>
    <xdr:to>
      <xdr:col>16</xdr:col>
      <xdr:colOff>144780</xdr:colOff>
      <xdr:row>15</xdr:row>
      <xdr:rowOff>160020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175260</xdr:rowOff>
    </xdr:from>
    <xdr:to>
      <xdr:col>16</xdr:col>
      <xdr:colOff>144780</xdr:colOff>
      <xdr:row>26</xdr:row>
      <xdr:rowOff>83820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190500</xdr:colOff>
      <xdr:row>0</xdr:row>
      <xdr:rowOff>53340</xdr:rowOff>
    </xdr:from>
    <xdr:to>
      <xdr:col>19</xdr:col>
      <xdr:colOff>259080</xdr:colOff>
      <xdr:row>26</xdr:row>
      <xdr:rowOff>83820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251460</xdr:colOff>
      <xdr:row>4</xdr:row>
      <xdr:rowOff>15240</xdr:rowOff>
    </xdr:from>
    <xdr:to>
      <xdr:col>22</xdr:col>
      <xdr:colOff>190500</xdr:colOff>
      <xdr:row>6</xdr:row>
      <xdr:rowOff>30480</xdr:rowOff>
    </xdr:to>
    <xdr:sp macro="" textlink="">
      <xdr:nvSpPr>
        <xdr:cNvPr id="7" name="Rounded Rectangle 98">
          <a:hlinkClick xmlns:r="http://schemas.openxmlformats.org/officeDocument/2006/relationships" r:id="rId4" tooltip="Return to Dashboard"/>
          <a:extLst>
            <a:ext uri="{FF2B5EF4-FFF2-40B4-BE49-F238E27FC236}">
              <a16:creationId xmlns:a16="http://schemas.microsoft.com/office/drawing/2014/main" id="{00000000-0008-0000-0600-000007000000}"/>
            </a:ext>
          </a:extLst>
        </xdr:cNvPr>
        <xdr:cNvSpPr/>
      </xdr:nvSpPr>
      <xdr:spPr>
        <a:xfrm>
          <a:off x="12443460" y="762000"/>
          <a:ext cx="1158240" cy="381000"/>
        </a:xfrm>
        <a:prstGeom prst="roundRect">
          <a:avLst/>
        </a:prstGeom>
        <a:solidFill>
          <a:srgbClr val="FF412D"/>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300" b="1" baseline="0">
              <a:solidFill>
                <a:schemeClr val="bg1"/>
              </a:solidFill>
              <a:latin typeface="Arial" panose="020B0604020202020204" pitchFamily="34" charset="0"/>
              <a:cs typeface="Arial" panose="020B0604020202020204" pitchFamily="34" charset="0"/>
            </a:rPr>
            <a:t>Dashboard</a:t>
          </a:r>
          <a:r>
            <a:rPr lang="en-US" sz="1300">
              <a:solidFill>
                <a:schemeClr val="bg1"/>
              </a:solidFill>
            </a:rPr>
            <a:t>  </a:t>
          </a:r>
          <a:r>
            <a:rPr lang="en-US" sz="1200">
              <a:solidFill>
                <a:schemeClr val="bg1"/>
              </a:solidFill>
            </a:rPr>
            <a:t>         </a:t>
          </a:r>
        </a:p>
      </xdr:txBody>
    </xdr:sp>
    <xdr:clientData/>
  </xdr:twoCellAnchor>
  <xdr:twoCellAnchor>
    <xdr:from>
      <xdr:col>20</xdr:col>
      <xdr:colOff>340640</xdr:colOff>
      <xdr:row>9</xdr:row>
      <xdr:rowOff>144779</xdr:rowOff>
    </xdr:from>
    <xdr:to>
      <xdr:col>22</xdr:col>
      <xdr:colOff>175260</xdr:colOff>
      <xdr:row>11</xdr:row>
      <xdr:rowOff>106679</xdr:rowOff>
    </xdr:to>
    <xdr:sp macro="" textlink="">
      <xdr:nvSpPr>
        <xdr:cNvPr id="8" name="Rounded Rectangle 98">
          <a:hlinkClick xmlns:r="http://schemas.openxmlformats.org/officeDocument/2006/relationships" r:id="rId5" tooltip="Click here for MAX Pain"/>
          <a:extLst>
            <a:ext uri="{FF2B5EF4-FFF2-40B4-BE49-F238E27FC236}">
              <a16:creationId xmlns:a16="http://schemas.microsoft.com/office/drawing/2014/main" id="{00000000-0008-0000-0600-000008000000}"/>
            </a:ext>
          </a:extLst>
        </xdr:cNvPr>
        <xdr:cNvSpPr/>
      </xdr:nvSpPr>
      <xdr:spPr>
        <a:xfrm>
          <a:off x="12532640" y="1805939"/>
          <a:ext cx="1053820" cy="32766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400" b="1" baseline="0">
              <a:solidFill>
                <a:srgbClr val="FF0000"/>
              </a:solidFill>
              <a:latin typeface="Arial" panose="020B0604020202020204" pitchFamily="34" charset="0"/>
              <a:cs typeface="Arial" panose="020B0604020202020204" pitchFamily="34" charset="0"/>
            </a:rPr>
            <a:t>MAX Pain</a:t>
          </a:r>
          <a:r>
            <a:rPr lang="en-US" sz="1800" b="1" baseline="0">
              <a:solidFill>
                <a:srgbClr val="FF0000"/>
              </a:solidFill>
            </a:rPr>
            <a:t> </a:t>
          </a:r>
          <a:r>
            <a:rPr lang="en-US" sz="1200">
              <a:solidFill>
                <a:schemeClr val="accent5">
                  <a:lumMod val="50000"/>
                </a:schemeClr>
              </a:solidFill>
            </a:rPr>
            <a:t>           </a:t>
          </a:r>
        </a:p>
      </xdr:txBody>
    </xdr:sp>
    <xdr:clientData/>
  </xdr:twoCellAnchor>
  <xdr:twoCellAnchor>
    <xdr:from>
      <xdr:col>20</xdr:col>
      <xdr:colOff>480060</xdr:colOff>
      <xdr:row>12</xdr:row>
      <xdr:rowOff>68579</xdr:rowOff>
    </xdr:from>
    <xdr:to>
      <xdr:col>22</xdr:col>
      <xdr:colOff>44384</xdr:colOff>
      <xdr:row>14</xdr:row>
      <xdr:rowOff>30479</xdr:rowOff>
    </xdr:to>
    <xdr:sp macro="" textlink="">
      <xdr:nvSpPr>
        <xdr:cNvPr id="10" name="Rounded Rectangle 98">
          <a:hlinkClick xmlns:r="http://schemas.openxmlformats.org/officeDocument/2006/relationships" r:id="rId6" tooltip="Click here to Returnt to main page"/>
          <a:extLst>
            <a:ext uri="{FF2B5EF4-FFF2-40B4-BE49-F238E27FC236}">
              <a16:creationId xmlns:a16="http://schemas.microsoft.com/office/drawing/2014/main" id="{00000000-0008-0000-0600-00000A000000}"/>
            </a:ext>
          </a:extLst>
        </xdr:cNvPr>
        <xdr:cNvSpPr/>
      </xdr:nvSpPr>
      <xdr:spPr>
        <a:xfrm>
          <a:off x="12672060" y="2278379"/>
          <a:ext cx="783524" cy="327660"/>
        </a:xfrm>
        <a:prstGeom prst="roundRect">
          <a:avLst/>
        </a:prstGeom>
        <a:solidFill>
          <a:srgbClr val="FF3300"/>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clientData/>
  </xdr:twoCellAnchor>
  <xdr:twoCellAnchor>
    <xdr:from>
      <xdr:col>20</xdr:col>
      <xdr:colOff>91440</xdr:colOff>
      <xdr:row>7</xdr:row>
      <xdr:rowOff>30480</xdr:rowOff>
    </xdr:from>
    <xdr:to>
      <xdr:col>22</xdr:col>
      <xdr:colOff>381000</xdr:colOff>
      <xdr:row>9</xdr:row>
      <xdr:rowOff>0</xdr:rowOff>
    </xdr:to>
    <xdr:sp macro="" textlink="">
      <xdr:nvSpPr>
        <xdr:cNvPr id="11" name="Rounded Rectangle 98">
          <a:hlinkClick xmlns:r="http://schemas.openxmlformats.org/officeDocument/2006/relationships" r:id="rId7" tooltip="Click here for Option Chain Analysis"/>
          <a:extLst>
            <a:ext uri="{FF2B5EF4-FFF2-40B4-BE49-F238E27FC236}">
              <a16:creationId xmlns:a16="http://schemas.microsoft.com/office/drawing/2014/main" id="{00000000-0008-0000-0600-00000B000000}"/>
            </a:ext>
          </a:extLst>
        </xdr:cNvPr>
        <xdr:cNvSpPr/>
      </xdr:nvSpPr>
      <xdr:spPr>
        <a:xfrm>
          <a:off x="12283440" y="1325880"/>
          <a:ext cx="1508760" cy="335280"/>
        </a:xfrm>
        <a:prstGeom prst="roundRect">
          <a:avLst/>
        </a:prstGeom>
        <a:solidFill>
          <a:srgbClr val="EC7524"/>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100" b="1" baseline="0">
              <a:solidFill>
                <a:schemeClr val="bg1"/>
              </a:solidFill>
            </a:rPr>
            <a:t>Option Chain Analysis</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205740</xdr:colOff>
      <xdr:row>2</xdr:row>
      <xdr:rowOff>22860</xdr:rowOff>
    </xdr:from>
    <xdr:to>
      <xdr:col>15</xdr:col>
      <xdr:colOff>441960</xdr:colOff>
      <xdr:row>13</xdr:row>
      <xdr:rowOff>91440</xdr:rowOff>
    </xdr:to>
    <xdr:sp macro="" textlink="">
      <xdr:nvSpPr>
        <xdr:cNvPr id="45" name="Rectangle 44">
          <a:extLst>
            <a:ext uri="{FF2B5EF4-FFF2-40B4-BE49-F238E27FC236}">
              <a16:creationId xmlns:a16="http://schemas.microsoft.com/office/drawing/2014/main" id="{00000000-0008-0000-0700-00002D000000}"/>
            </a:ext>
          </a:extLst>
        </xdr:cNvPr>
        <xdr:cNvSpPr/>
      </xdr:nvSpPr>
      <xdr:spPr>
        <a:xfrm>
          <a:off x="8877300" y="472440"/>
          <a:ext cx="2065020" cy="208026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11</xdr:col>
      <xdr:colOff>579120</xdr:colOff>
      <xdr:row>19</xdr:row>
      <xdr:rowOff>106680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7620</xdr:colOff>
      <xdr:row>3</xdr:row>
      <xdr:rowOff>0</xdr:rowOff>
    </xdr:from>
    <xdr:to>
      <xdr:col>14</xdr:col>
      <xdr:colOff>556260</xdr:colOff>
      <xdr:row>5</xdr:row>
      <xdr:rowOff>15240</xdr:rowOff>
    </xdr:to>
    <xdr:sp macro="" textlink="">
      <xdr:nvSpPr>
        <xdr:cNvPr id="40" name="Rounded Rectangle 98">
          <a:hlinkClick xmlns:r="http://schemas.openxmlformats.org/officeDocument/2006/relationships" r:id="rId2" tooltip="Return to Dashboard"/>
          <a:extLst>
            <a:ext uri="{FF2B5EF4-FFF2-40B4-BE49-F238E27FC236}">
              <a16:creationId xmlns:a16="http://schemas.microsoft.com/office/drawing/2014/main" id="{00000000-0008-0000-0700-000028000000}"/>
            </a:ext>
          </a:extLst>
        </xdr:cNvPr>
        <xdr:cNvSpPr/>
      </xdr:nvSpPr>
      <xdr:spPr>
        <a:xfrm>
          <a:off x="9898380" y="563880"/>
          <a:ext cx="1158240" cy="381000"/>
        </a:xfrm>
        <a:prstGeom prst="roundRect">
          <a:avLst/>
        </a:prstGeom>
        <a:solidFill>
          <a:srgbClr val="FF412D"/>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300" b="1" baseline="0">
              <a:solidFill>
                <a:schemeClr val="bg1"/>
              </a:solidFill>
              <a:latin typeface="Arial" panose="020B0604020202020204" pitchFamily="34" charset="0"/>
              <a:cs typeface="Arial" panose="020B0604020202020204" pitchFamily="34" charset="0"/>
            </a:rPr>
            <a:t>Dashboard</a:t>
          </a:r>
          <a:r>
            <a:rPr lang="en-US" sz="1300">
              <a:solidFill>
                <a:schemeClr val="bg1"/>
              </a:solidFill>
            </a:rPr>
            <a:t>  </a:t>
          </a:r>
          <a:r>
            <a:rPr lang="en-US" sz="1200">
              <a:solidFill>
                <a:schemeClr val="bg1"/>
              </a:solidFill>
            </a:rPr>
            <a:t>         </a:t>
          </a:r>
        </a:p>
      </xdr:txBody>
    </xdr:sp>
    <xdr:clientData/>
  </xdr:twoCellAnchor>
  <xdr:twoCellAnchor>
    <xdr:from>
      <xdr:col>13</xdr:col>
      <xdr:colOff>0</xdr:colOff>
      <xdr:row>8</xdr:row>
      <xdr:rowOff>114299</xdr:rowOff>
    </xdr:from>
    <xdr:to>
      <xdr:col>14</xdr:col>
      <xdr:colOff>594360</xdr:colOff>
      <xdr:row>10</xdr:row>
      <xdr:rowOff>114299</xdr:rowOff>
    </xdr:to>
    <xdr:sp macro="" textlink="">
      <xdr:nvSpPr>
        <xdr:cNvPr id="42" name="Rounded Rectangle 98">
          <a:hlinkClick xmlns:r="http://schemas.openxmlformats.org/officeDocument/2006/relationships" r:id="rId3" tooltip="Click here for Intraday Chart"/>
          <a:extLst>
            <a:ext uri="{FF2B5EF4-FFF2-40B4-BE49-F238E27FC236}">
              <a16:creationId xmlns:a16="http://schemas.microsoft.com/office/drawing/2014/main" id="{00000000-0008-0000-0700-00002A000000}"/>
            </a:ext>
          </a:extLst>
        </xdr:cNvPr>
        <xdr:cNvSpPr/>
      </xdr:nvSpPr>
      <xdr:spPr>
        <a:xfrm>
          <a:off x="9890760" y="1592579"/>
          <a:ext cx="1203960" cy="365760"/>
        </a:xfrm>
        <a:prstGeom prst="roundRect">
          <a:avLst/>
        </a:prstGeom>
        <a:solidFill>
          <a:srgbClr val="0DE14A"/>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200" b="1" baseline="0">
              <a:solidFill>
                <a:sysClr val="windowText" lastClr="000000"/>
              </a:solidFill>
              <a:latin typeface="Arial" panose="020B0604020202020204" pitchFamily="34" charset="0"/>
              <a:cs typeface="Arial" panose="020B0604020202020204" pitchFamily="34" charset="0"/>
            </a:rPr>
            <a:t>Intraday</a:t>
          </a:r>
          <a:r>
            <a:rPr lang="en-US" sz="1200" b="1" baseline="0">
              <a:solidFill>
                <a:sysClr val="windowText" lastClr="000000"/>
              </a:solidFill>
              <a:latin typeface="+mn-lt"/>
              <a:cs typeface="+mn-cs"/>
            </a:rPr>
            <a:t> </a:t>
          </a:r>
          <a:r>
            <a:rPr lang="en-US" sz="1200" b="1">
              <a:solidFill>
                <a:sysClr val="windowText" lastClr="000000"/>
              </a:solidFill>
            </a:rPr>
            <a:t>Chart</a:t>
          </a:r>
        </a:p>
      </xdr:txBody>
    </xdr:sp>
    <xdr:clientData/>
  </xdr:twoCellAnchor>
  <xdr:twoCellAnchor>
    <xdr:from>
      <xdr:col>13</xdr:col>
      <xdr:colOff>236220</xdr:colOff>
      <xdr:row>11</xdr:row>
      <xdr:rowOff>53339</xdr:rowOff>
    </xdr:from>
    <xdr:to>
      <xdr:col>14</xdr:col>
      <xdr:colOff>410144</xdr:colOff>
      <xdr:row>13</xdr:row>
      <xdr:rowOff>15239</xdr:rowOff>
    </xdr:to>
    <xdr:sp macro="" textlink="">
      <xdr:nvSpPr>
        <xdr:cNvPr id="43" name="Rounded Rectangle 98">
          <a:hlinkClick xmlns:r="http://schemas.openxmlformats.org/officeDocument/2006/relationships" r:id="rId4" tooltip="Click here to Returnt to main page"/>
          <a:extLst>
            <a:ext uri="{FF2B5EF4-FFF2-40B4-BE49-F238E27FC236}">
              <a16:creationId xmlns:a16="http://schemas.microsoft.com/office/drawing/2014/main" id="{00000000-0008-0000-0700-00002B000000}"/>
            </a:ext>
          </a:extLst>
        </xdr:cNvPr>
        <xdr:cNvSpPr/>
      </xdr:nvSpPr>
      <xdr:spPr>
        <a:xfrm>
          <a:off x="10126980" y="2080259"/>
          <a:ext cx="783524" cy="327660"/>
        </a:xfrm>
        <a:prstGeom prst="roundRect">
          <a:avLst/>
        </a:prstGeom>
        <a:solidFill>
          <a:srgbClr val="FF3300"/>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clientData/>
  </xdr:twoCellAnchor>
  <xdr:twoCellAnchor>
    <xdr:from>
      <xdr:col>12</xdr:col>
      <xdr:colOff>464820</xdr:colOff>
      <xdr:row>6</xdr:row>
      <xdr:rowOff>15240</xdr:rowOff>
    </xdr:from>
    <xdr:to>
      <xdr:col>15</xdr:col>
      <xdr:colOff>144780</xdr:colOff>
      <xdr:row>7</xdr:row>
      <xdr:rowOff>167640</xdr:rowOff>
    </xdr:to>
    <xdr:sp macro="" textlink="">
      <xdr:nvSpPr>
        <xdr:cNvPr id="44" name="Rounded Rectangle 98">
          <a:hlinkClick xmlns:r="http://schemas.openxmlformats.org/officeDocument/2006/relationships" r:id="rId5" tooltip="Click here for Option Chain Analysis"/>
          <a:extLst>
            <a:ext uri="{FF2B5EF4-FFF2-40B4-BE49-F238E27FC236}">
              <a16:creationId xmlns:a16="http://schemas.microsoft.com/office/drawing/2014/main" id="{00000000-0008-0000-0700-00002C000000}"/>
            </a:ext>
          </a:extLst>
        </xdr:cNvPr>
        <xdr:cNvSpPr/>
      </xdr:nvSpPr>
      <xdr:spPr>
        <a:xfrm>
          <a:off x="9745980" y="1127760"/>
          <a:ext cx="1508760" cy="335280"/>
        </a:xfrm>
        <a:prstGeom prst="roundRect">
          <a:avLst/>
        </a:prstGeom>
        <a:solidFill>
          <a:srgbClr val="EC7524"/>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100" b="1" baseline="0">
              <a:solidFill>
                <a:schemeClr val="bg1"/>
              </a:solidFill>
            </a:rPr>
            <a:t>Option Chain Analysis</a:t>
          </a:r>
          <a:endParaRPr lang="en-US" sz="1100">
            <a:solidFill>
              <a:schemeClr val="bg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F2F5AAC-2689-440C-934B-F12691EDEE7D}" autoFormatId="16" applyNumberFormats="0" applyBorderFormats="0" applyFontFormats="0" applyPatternFormats="0" applyAlignmentFormats="0" applyWidthHeightFormats="0">
  <queryTableRefresh nextId="82" unboundColumnsRight="4">
    <queryTableFields count="23">
      <queryTableField id="2" name="Column1.expiryDate" tableColumnId="2"/>
      <queryTableField id="77" dataBound="0" tableColumnId="58"/>
      <queryTableField id="76" dataBound="0" tableColumnId="57"/>
      <queryTableField id="75" dataBound="0" tableColumnId="56"/>
      <queryTableField id="74" dataBound="0" tableColumnId="55"/>
      <queryTableField id="48" name="Call.openInterest" tableColumnId="42"/>
      <queryTableField id="49" name="Call.changeinOpenInterest" tableColumnId="43"/>
      <queryTableField id="50" name="CAll.totalTradedVolume" tableColumnId="44"/>
      <queryTableField id="51" name="CAll.impliedVolatility" tableColumnId="45"/>
      <queryTableField id="52" name="CAll.lastPrice" tableColumnId="46"/>
      <queryTableField id="53" name="CAll.change" tableColumnId="47"/>
      <queryTableField id="54" name="StrikePrice" tableColumnId="48"/>
      <queryTableField id="55" name="PUT.change" tableColumnId="49"/>
      <queryTableField id="56" name="PUT.lastPrice" tableColumnId="50"/>
      <queryTableField id="57" name="PUT.impliedVolatility" tableColumnId="51"/>
      <queryTableField id="58" name="PUT.totalTradedVolume" tableColumnId="52"/>
      <queryTableField id="59" name="PUT.changeinOpenInterest" tableColumnId="53"/>
      <queryTableField id="60" name="PUT.openInterest" tableColumnId="54"/>
      <queryTableField id="21" name="Column1.PE.underlyingValue" tableColumnId="21"/>
      <queryTableField id="78" dataBound="0" tableColumnId="3"/>
      <queryTableField id="79" dataBound="0" tableColumnId="4"/>
      <queryTableField id="80" dataBound="0" tableColumnId="5"/>
      <queryTableField id="81"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06F7FA5-5CF1-46C1-8341-6CF06030A5F4}" autoFormatId="16" applyNumberFormats="0" applyBorderFormats="0" applyFontFormats="0" applyPatternFormats="0" applyAlignmentFormats="0" applyWidthHeightFormats="0">
  <queryTableRefresh nextId="3">
    <queryTableFields count="2">
      <queryTableField id="1" name="Name" tableColumnId="3"/>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EF5217-BE60-450F-8B49-37B06E829A56}" name="Option_Chain_Data" displayName="Option_Chain_Data" ref="A9:W113" tableType="queryTable" totalsRowShown="0" headerRowDxfId="73" dataDxfId="72">
  <autoFilter ref="A9:W113" xr:uid="{9E01C936-1082-4DD2-9AB5-0E011610BA9F}"/>
  <tableColumns count="23">
    <tableColumn id="2" xr3:uid="{73C4759F-A8B2-46EA-B23E-95BA75084EE6}" uniqueName="2" name="Column1.expiryDate" queryTableFieldId="2" dataDxfId="24"/>
    <tableColumn id="58" xr3:uid="{CE0411B4-238C-4352-A9AC-3E8544CFD4A9}" uniqueName="58" name="Trend" queryTableFieldId="77" dataDxfId="23">
      <calculatedColumnFormula>IF(OR(Option_Chain_Data[[#This Row],[InterPretation]]="Long Build UP",Option_Chain_Data[[#This Row],[InterPretation]]="Short Covering"),"BULLISH",IF(OR(Option_Chain_Data[[#This Row],[InterPretation]]="LongLiquidation",Option_Chain_Data[[#This Row],[InterPretation]]="Short Build UP"),"BEARISH",""))</calculatedColumnFormula>
    </tableColumn>
    <tableColumn id="57" xr3:uid="{B9B2EB5D-17AF-4DC0-8C93-3BB45AF90D0A}" uniqueName="57" name="InterPretation" queryTableFieldId="76" dataDxfId="22">
      <calculatedColumnFormula>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calculatedColumnFormula>
    </tableColumn>
    <tableColumn id="56" xr3:uid="{1BD2DB9A-897B-41E4-BF67-D5C424E8F2F0}" uniqueName="56" name="OI Change" queryTableFieldId="75" dataDxfId="21">
      <calculatedColumnFormula>IF(Option_Chain_Data[[#This Row],[Call.changeinOpenInterest]]&gt;0,"UP",IF(Option_Chain_Data[[#This Row],[Call.changeinOpenInterest]]&lt;0,"DOWN",""))</calculatedColumnFormula>
    </tableColumn>
    <tableColumn id="55" xr3:uid="{8F4D78EA-80EA-4E61-BC70-6F7484B0DAE0}" uniqueName="55" name="Price Change" queryTableFieldId="74" dataDxfId="20">
      <calculatedColumnFormula>IF(Option_Chain_Data[[#This Row],[CAll.change]]&gt;0,"UP",IF(Option_Chain_Data[[#This Row],[CAll.change]]&lt;0,"DOWN",""))</calculatedColumnFormula>
    </tableColumn>
    <tableColumn id="42" xr3:uid="{A0C0D385-E56F-4947-826F-EE12A9E26E97}" uniqueName="42" name="Call.openInterest" queryTableFieldId="48" dataDxfId="19"/>
    <tableColumn id="43" xr3:uid="{16E965CD-5A3D-40C0-A980-7CE8A4B2F89C}" uniqueName="43" name="Call.changeinOpenInterest" queryTableFieldId="49" dataDxfId="18"/>
    <tableColumn id="44" xr3:uid="{E372537F-B2D2-4FA2-B5CE-EA8506318146}" uniqueName="44" name="CAll.totalTradedVolume" queryTableFieldId="50" dataDxfId="17"/>
    <tableColumn id="45" xr3:uid="{5F660AF4-4542-43F6-A56D-B748824443A1}" uniqueName="45" name="CAll.impliedVolatility" queryTableFieldId="51" dataDxfId="16"/>
    <tableColumn id="46" xr3:uid="{A96D458F-115A-4E04-B90C-307752E76460}" uniqueName="46" name="CAll.lastPrice" queryTableFieldId="52" dataDxfId="15"/>
    <tableColumn id="47" xr3:uid="{819675E1-491C-4F71-81BF-8836DB2D2DD2}" uniqueName="47" name="CAll.change" queryTableFieldId="53" dataDxfId="14"/>
    <tableColumn id="48" xr3:uid="{E2718440-8DB1-404F-8F79-C78F0453066A}" uniqueName="48" name="StrikePrice" queryTableFieldId="54" dataDxfId="13" dataCellStyle="Neutral"/>
    <tableColumn id="49" xr3:uid="{17B29466-19FB-4BF1-8621-C0E005A29D83}" uniqueName="49" name="PUT.change" queryTableFieldId="55" dataDxfId="12"/>
    <tableColumn id="50" xr3:uid="{37B23ACE-A490-48BF-8609-87C826DF420C}" uniqueName="50" name="PUT.lastPrice" queryTableFieldId="56" dataDxfId="11"/>
    <tableColumn id="51" xr3:uid="{87F983DC-1D98-4C7E-9CC9-C53CBA32164F}" uniqueName="51" name="PUT.impliedVolatility" queryTableFieldId="57" dataDxfId="10"/>
    <tableColumn id="52" xr3:uid="{DC743F83-C21B-4BD7-A6D6-4B06E958FC37}" uniqueName="52" name="PUT.totalTradedVolume" queryTableFieldId="58" dataDxfId="9"/>
    <tableColumn id="53" xr3:uid="{F5DB4E04-7C23-40CE-94DF-26A7C9E30E5E}" uniqueName="53" name="PUT.changeinOpenInterest" queryTableFieldId="59" dataDxfId="8"/>
    <tableColumn id="54" xr3:uid="{EF2B7F11-F78A-4F25-B717-B952E806DD0E}" uniqueName="54" name="PUT.openInterest" queryTableFieldId="60" dataDxfId="7"/>
    <tableColumn id="21" xr3:uid="{C90CB90C-309B-466E-925D-C9EAF4D00FB5}" uniqueName="21" name="Column1.PE.underlyingValue" queryTableFieldId="21" dataDxfId="6"/>
    <tableColumn id="3" xr3:uid="{B36921E2-C9EA-44F9-930A-5DBAA4C84F9C}" uniqueName="3" name="Price Change2" queryTableFieldId="78" dataDxfId="5">
      <calculatedColumnFormula>IF(Option_Chain_Data[[#This Row],[PUT.change]]&gt;0,"UP",IF(Option_Chain_Data[[#This Row],[PUT.change]]&lt;0,"DOWN",""))</calculatedColumnFormula>
    </tableColumn>
    <tableColumn id="4" xr3:uid="{9525AD86-F23B-4F21-84F2-FA2BC6180BD5}" uniqueName="4" name="OI Change2" queryTableFieldId="79" dataDxfId="4">
      <calculatedColumnFormula>IF(Option_Chain_Data[[#This Row],[PUT.changeinOpenInterest]]&gt;0,"UP",IF(Option_Chain_Data[[#This Row],[PUT.changeinOpenInterest]]&lt;0,"DOWN",""))</calculatedColumnFormula>
    </tableColumn>
    <tableColumn id="5" xr3:uid="{68B06321-6BA5-4EED-A1CF-85061FE536CE}" uniqueName="5" name="InterPretation2" queryTableFieldId="80" dataDxfId="3">
      <calculatedColumnFormula>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calculatedColumnFormula>
    </tableColumn>
    <tableColumn id="6" xr3:uid="{12ADBBD6-04ED-4131-9E61-6F5DC27AED59}" uniqueName="6" name="Trend2" queryTableFieldId="81" dataDxfId="2">
      <calculatedColumnFormula>IF(OR(Option_Chain_Data[[#This Row],[InterPretation2]]="Long Build UP",Option_Chain_Data[[#This Row],[InterPretation2]]="Short Covering"),"BULLISH",IF(OR(Option_Chain_Data[[#This Row],[InterPretation2]]="Long Liquidation",Option_Chain_Data[[#This Row],[InterPretation2]]="Short Build UP"),"BEARISH",""))</calculatedColumnFormula>
    </tableColumn>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A71ADA-A237-425D-82BB-B261239F9016}" name="Time" displayName="Time" ref="B121:C122" tableType="queryTable" totalsRowShown="0" headerRowDxfId="71" dataDxfId="70">
  <autoFilter ref="B121:C122" xr:uid="{4A649075-A498-4912-A313-9F043B642757}"/>
  <tableColumns count="2">
    <tableColumn id="3" xr3:uid="{3D379E14-74B9-43F1-ADE9-152CB0E7768C}" uniqueName="3" name="Name" queryTableFieldId="1" dataDxfId="1"/>
    <tableColumn id="2" xr3:uid="{46149FF0-739B-48E8-B638-9BC807DB86A0}" uniqueName="2" name="Value" queryTableFieldId="2"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0DCE95-EF3F-436B-9F98-EDDEF2F37228}" name="Table2" displayName="Table2" ref="B3:B4" totalsRowShown="0" dataDxfId="69">
  <autoFilter ref="B3:B4" xr:uid="{27965BEA-8DDF-4437-BD4B-783B05A23AC7}"/>
  <tableColumns count="1">
    <tableColumn id="1" xr3:uid="{9F8395BC-02AE-475B-A092-870875038D94}" name="Cookies" dataDxfId="6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lumMod val="40000"/>
            <a:lumOff val="60000"/>
          </a:schemeClr>
        </a:solidFill>
        <a:effectLst>
          <a:reflection blurRad="6350" stA="52000" endA="300" endPos="35000" dir="5400000" sy="-100000" algn="bl" rotWithShape="0"/>
        </a:effectLst>
        <a:scene3d>
          <a:camera prst="orthographicFront"/>
          <a:lightRig rig="threePt" dir="t"/>
        </a:scene3d>
        <a:sp3d>
          <a:bevelT/>
        </a:sp3d>
      </a:spPr>
      <a:bodyPr vertOverflow="clip" horzOverflow="clip" rtlCol="0" anchor="t"/>
      <a:lstStyle>
        <a:defPPr algn="ctr">
          <a:defRPr sz="1300" b="1" baseline="0">
            <a:solidFill>
              <a:schemeClr val="accent5">
                <a:lumMod val="50000"/>
              </a:schemeClr>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stockgeni.com/tools"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40CAC-0177-4A08-871A-2EFB3C7AD424}">
  <sheetPr codeName="Sheet6"/>
  <dimension ref="A1:U45"/>
  <sheetViews>
    <sheetView showGridLines="0" showRowColHeaders="0" zoomScale="90" zoomScaleNormal="90" workbookViewId="0">
      <pane ySplit="3" topLeftCell="A10" activePane="bottomLeft" state="frozen"/>
      <selection pane="bottomLeft" sqref="A1:K3"/>
    </sheetView>
  </sheetViews>
  <sheetFormatPr defaultColWidth="8.88671875" defaultRowHeight="14.4" x14ac:dyDescent="0.3"/>
  <cols>
    <col min="1" max="1" width="3.6640625" style="149" customWidth="1"/>
    <col min="2" max="2" width="28.33203125" style="149" customWidth="1"/>
    <col min="3" max="3" width="1.6640625" style="149" customWidth="1"/>
    <col min="4" max="4" width="25.44140625" style="149" customWidth="1"/>
    <col min="5" max="5" width="2.6640625" style="149" customWidth="1"/>
    <col min="6" max="6" width="24" style="149" customWidth="1"/>
    <col min="7" max="7" width="2.6640625" style="149" customWidth="1"/>
    <col min="8" max="8" width="23.6640625" style="149" customWidth="1"/>
    <col min="9" max="9" width="2.6640625" style="149" customWidth="1"/>
    <col min="10" max="10" width="23.88671875" style="149" customWidth="1"/>
    <col min="11" max="11" width="11" style="149" customWidth="1"/>
    <col min="12" max="16384" width="8.88671875" style="149"/>
  </cols>
  <sheetData>
    <row r="1" spans="1:21" s="159" customFormat="1" ht="4.2" customHeight="1" x14ac:dyDescent="0.3">
      <c r="A1" s="277"/>
      <c r="B1" s="277"/>
      <c r="C1" s="277"/>
      <c r="D1" s="277"/>
      <c r="E1" s="277"/>
      <c r="F1" s="277"/>
      <c r="G1" s="277"/>
      <c r="H1" s="277"/>
      <c r="I1" s="277"/>
      <c r="J1" s="277"/>
      <c r="K1" s="277"/>
    </row>
    <row r="2" spans="1:21" s="159" customFormat="1" ht="58.2" customHeight="1" x14ac:dyDescent="0.3">
      <c r="A2" s="277"/>
      <c r="B2" s="277"/>
      <c r="C2" s="277"/>
      <c r="D2" s="277"/>
      <c r="E2" s="277"/>
      <c r="F2" s="277"/>
      <c r="G2" s="277"/>
      <c r="H2" s="277"/>
      <c r="I2" s="277"/>
      <c r="J2" s="277"/>
      <c r="K2" s="277"/>
      <c r="L2" s="278"/>
      <c r="M2" s="278"/>
      <c r="N2" s="278"/>
      <c r="O2" s="278"/>
      <c r="P2" s="278"/>
      <c r="Q2" s="278"/>
      <c r="R2" s="278"/>
      <c r="S2" s="278"/>
      <c r="T2" s="278"/>
    </row>
    <row r="3" spans="1:21" s="159" customFormat="1" ht="19.95" customHeight="1" x14ac:dyDescent="0.3">
      <c r="A3" s="277"/>
      <c r="B3" s="277"/>
      <c r="C3" s="277"/>
      <c r="D3" s="277"/>
      <c r="E3" s="277"/>
      <c r="F3" s="277"/>
      <c r="G3" s="277"/>
      <c r="H3" s="277"/>
      <c r="I3" s="277"/>
      <c r="J3" s="277"/>
      <c r="K3" s="277"/>
      <c r="L3" s="278"/>
      <c r="M3" s="278"/>
      <c r="N3" s="278"/>
      <c r="O3" s="278"/>
      <c r="P3" s="278"/>
      <c r="Q3" s="278"/>
      <c r="R3" s="278"/>
      <c r="S3" s="278"/>
      <c r="T3" s="278"/>
    </row>
    <row r="4" spans="1:21" x14ac:dyDescent="0.3">
      <c r="B4" s="151"/>
      <c r="C4" s="152"/>
      <c r="D4" s="151"/>
      <c r="E4" s="151"/>
      <c r="F4" s="151"/>
      <c r="G4" s="151"/>
      <c r="H4" s="151"/>
      <c r="I4" s="151"/>
      <c r="J4" s="151"/>
      <c r="K4" s="151"/>
      <c r="L4" s="151"/>
      <c r="M4" s="151"/>
      <c r="N4" s="151"/>
      <c r="O4" s="151"/>
      <c r="P4" s="151"/>
      <c r="Q4" s="151"/>
      <c r="R4" s="151"/>
      <c r="S4" s="151"/>
      <c r="T4" s="151"/>
      <c r="U4" s="151"/>
    </row>
    <row r="5" spans="1:21" ht="15" thickBot="1" x14ac:dyDescent="0.35">
      <c r="B5" s="151"/>
      <c r="C5" s="151"/>
      <c r="D5" s="151"/>
      <c r="E5" s="151"/>
      <c r="F5" s="151"/>
      <c r="G5" s="151"/>
      <c r="H5" s="151"/>
      <c r="I5" s="151"/>
      <c r="J5" s="151"/>
      <c r="K5" s="151"/>
      <c r="L5" s="151"/>
      <c r="M5" s="151"/>
      <c r="N5" s="151"/>
      <c r="O5" s="151"/>
      <c r="P5" s="151"/>
      <c r="Q5" s="151"/>
      <c r="R5" s="151"/>
      <c r="S5" s="151"/>
      <c r="T5" s="151"/>
      <c r="U5" s="151"/>
    </row>
    <row r="6" spans="1:21" ht="31.2" customHeight="1" x14ac:dyDescent="0.3">
      <c r="B6" s="268" t="s">
        <v>94</v>
      </c>
      <c r="C6" s="269"/>
      <c r="D6" s="269"/>
      <c r="E6" s="269"/>
      <c r="F6" s="269"/>
      <c r="G6" s="269"/>
      <c r="H6" s="269"/>
      <c r="I6" s="269"/>
      <c r="J6" s="269"/>
      <c r="K6" s="270"/>
      <c r="L6" s="151"/>
      <c r="M6" s="151"/>
      <c r="N6" s="151"/>
      <c r="O6" s="151"/>
      <c r="P6" s="151"/>
      <c r="Q6" s="151"/>
      <c r="R6" s="151"/>
      <c r="S6" s="151"/>
      <c r="T6" s="151"/>
      <c r="U6" s="151"/>
    </row>
    <row r="7" spans="1:21" ht="14.4" customHeight="1" x14ac:dyDescent="0.3">
      <c r="B7" s="271"/>
      <c r="C7" s="272"/>
      <c r="D7" s="272"/>
      <c r="E7" s="272"/>
      <c r="F7" s="272"/>
      <c r="G7" s="272"/>
      <c r="H7" s="272"/>
      <c r="I7" s="272"/>
      <c r="J7" s="272"/>
      <c r="K7" s="273"/>
      <c r="L7" s="151"/>
      <c r="M7" s="151"/>
      <c r="N7" s="151"/>
      <c r="O7" s="151"/>
      <c r="P7" s="151"/>
      <c r="Q7" s="151"/>
      <c r="R7" s="151"/>
      <c r="S7" s="151"/>
      <c r="T7" s="151"/>
      <c r="U7" s="151"/>
    </row>
    <row r="8" spans="1:21" ht="15" customHeight="1" thickBot="1" x14ac:dyDescent="0.35">
      <c r="B8" s="274"/>
      <c r="C8" s="275"/>
      <c r="D8" s="275"/>
      <c r="E8" s="275"/>
      <c r="F8" s="275"/>
      <c r="G8" s="275"/>
      <c r="H8" s="275"/>
      <c r="I8" s="275"/>
      <c r="J8" s="275"/>
      <c r="K8" s="276"/>
      <c r="L8" s="151"/>
      <c r="M8" s="151"/>
      <c r="N8" s="151"/>
      <c r="O8" s="151"/>
      <c r="P8" s="151"/>
      <c r="Q8" s="151"/>
      <c r="R8" s="151"/>
      <c r="S8" s="151"/>
      <c r="T8" s="151"/>
      <c r="U8" s="151"/>
    </row>
    <row r="9" spans="1:21" x14ac:dyDescent="0.3">
      <c r="B9" s="151"/>
      <c r="C9" s="151"/>
      <c r="D9" s="151"/>
      <c r="E9" s="151"/>
      <c r="F9" s="151"/>
      <c r="G9" s="151"/>
      <c r="H9" s="151"/>
      <c r="I9" s="151"/>
      <c r="J9" s="151"/>
      <c r="K9" s="151"/>
      <c r="L9" s="151"/>
      <c r="M9" s="151"/>
      <c r="N9" s="151"/>
      <c r="O9" s="151"/>
      <c r="P9" s="151"/>
      <c r="Q9" s="151"/>
      <c r="R9" s="151"/>
      <c r="S9" s="151"/>
      <c r="T9" s="151"/>
      <c r="U9" s="151"/>
    </row>
    <row r="10" spans="1:21" ht="38.4" x14ac:dyDescent="0.7">
      <c r="B10" s="283" t="s">
        <v>80</v>
      </c>
      <c r="C10" s="283"/>
      <c r="D10" s="283"/>
      <c r="E10" s="283"/>
      <c r="F10" s="283"/>
      <c r="G10" s="283"/>
      <c r="H10" s="283"/>
      <c r="I10" s="283"/>
      <c r="J10" s="283"/>
      <c r="K10" s="151"/>
      <c r="L10" s="151"/>
      <c r="M10" s="151"/>
      <c r="N10" s="151"/>
      <c r="O10" s="151"/>
      <c r="P10" s="151"/>
      <c r="Q10" s="151"/>
      <c r="R10" s="151"/>
      <c r="S10" s="151"/>
      <c r="T10" s="151"/>
      <c r="U10" s="151"/>
    </row>
    <row r="11" spans="1:21" ht="15" thickBot="1" x14ac:dyDescent="0.35">
      <c r="B11" s="153"/>
      <c r="C11" s="153"/>
      <c r="D11" s="153"/>
      <c r="E11" s="153"/>
      <c r="F11" s="153"/>
      <c r="G11" s="153"/>
      <c r="H11" s="153"/>
      <c r="I11" s="153"/>
      <c r="J11" s="153"/>
      <c r="K11" s="151"/>
      <c r="L11" s="151"/>
      <c r="M11" s="151"/>
      <c r="N11" s="151"/>
      <c r="O11" s="151"/>
      <c r="P11" s="151"/>
      <c r="Q11" s="151"/>
      <c r="R11" s="151"/>
      <c r="S11" s="151"/>
      <c r="T11" s="151"/>
      <c r="U11" s="151"/>
    </row>
    <row r="12" spans="1:21" ht="26.4" thickBot="1" x14ac:dyDescent="0.55000000000000004">
      <c r="B12" s="154" t="s">
        <v>81</v>
      </c>
      <c r="C12" s="153"/>
      <c r="D12" s="153"/>
      <c r="E12" s="153"/>
      <c r="F12" s="153"/>
      <c r="G12" s="153"/>
      <c r="H12" s="153"/>
      <c r="I12" s="153"/>
      <c r="J12" s="153"/>
      <c r="K12" s="151"/>
      <c r="L12" s="151"/>
      <c r="M12" s="151"/>
      <c r="N12" s="151"/>
      <c r="O12" s="151"/>
      <c r="P12" s="151"/>
      <c r="Q12" s="151"/>
      <c r="R12" s="151"/>
      <c r="S12" s="151"/>
      <c r="T12" s="151"/>
      <c r="U12" s="151"/>
    </row>
    <row r="13" spans="1:21" ht="49.95" customHeight="1" x14ac:dyDescent="0.3">
      <c r="B13" s="281" t="s">
        <v>82</v>
      </c>
      <c r="C13" s="281"/>
      <c r="D13" s="281"/>
      <c r="E13" s="281"/>
      <c r="F13" s="281"/>
      <c r="G13" s="281"/>
      <c r="H13" s="281"/>
      <c r="I13" s="281"/>
      <c r="J13" s="281"/>
      <c r="K13" s="151"/>
      <c r="L13" s="151"/>
      <c r="M13" s="151"/>
      <c r="N13" s="151"/>
      <c r="O13" s="151"/>
      <c r="P13" s="151"/>
      <c r="Q13" s="151"/>
      <c r="R13" s="151"/>
      <c r="S13" s="151"/>
      <c r="T13" s="151"/>
      <c r="U13" s="151"/>
    </row>
    <row r="14" spans="1:21" ht="24.6" customHeight="1" x14ac:dyDescent="0.3">
      <c r="B14" s="155" t="s">
        <v>85</v>
      </c>
      <c r="C14" s="153"/>
      <c r="D14" s="153"/>
      <c r="E14" s="153"/>
      <c r="F14" s="153"/>
      <c r="G14" s="153"/>
      <c r="H14" s="153"/>
      <c r="I14" s="153"/>
      <c r="J14" s="153"/>
      <c r="K14" s="151"/>
      <c r="L14" s="151"/>
      <c r="M14" s="151"/>
      <c r="N14" s="151"/>
      <c r="O14" s="151"/>
      <c r="P14" s="151"/>
      <c r="Q14" s="151"/>
      <c r="R14" s="151"/>
      <c r="S14" s="151"/>
      <c r="T14" s="151"/>
      <c r="U14" s="151"/>
    </row>
    <row r="15" spans="1:21" ht="21" customHeight="1" x14ac:dyDescent="0.3">
      <c r="B15" s="281" t="s">
        <v>83</v>
      </c>
      <c r="C15" s="281"/>
      <c r="D15" s="281"/>
      <c r="E15" s="281"/>
      <c r="F15" s="281"/>
      <c r="G15" s="281"/>
      <c r="H15" s="281"/>
      <c r="I15" s="281"/>
      <c r="J15" s="281"/>
      <c r="K15" s="156"/>
      <c r="L15" s="151"/>
      <c r="M15" s="151"/>
      <c r="N15" s="151"/>
      <c r="O15" s="151"/>
      <c r="P15" s="151"/>
      <c r="Q15" s="151"/>
      <c r="R15" s="151"/>
      <c r="S15" s="151"/>
      <c r="T15" s="151"/>
      <c r="U15" s="151"/>
    </row>
    <row r="16" spans="1:21" ht="13.2" customHeight="1" x14ac:dyDescent="0.3">
      <c r="B16" s="281"/>
      <c r="C16" s="281"/>
      <c r="D16" s="281"/>
      <c r="E16" s="281"/>
      <c r="F16" s="281"/>
      <c r="G16" s="281"/>
      <c r="H16" s="281"/>
      <c r="I16" s="281"/>
      <c r="J16" s="281"/>
      <c r="K16" s="156"/>
      <c r="L16" s="151"/>
      <c r="M16" s="151"/>
      <c r="N16" s="151"/>
      <c r="O16" s="151"/>
      <c r="P16" s="151"/>
      <c r="Q16" s="151"/>
      <c r="R16" s="151"/>
      <c r="S16" s="151"/>
      <c r="T16" s="151"/>
      <c r="U16" s="151"/>
    </row>
    <row r="17" spans="2:21" ht="14.4" hidden="1" customHeight="1" x14ac:dyDescent="0.3">
      <c r="B17" s="281"/>
      <c r="C17" s="281"/>
      <c r="D17" s="281"/>
      <c r="E17" s="281"/>
      <c r="F17" s="281"/>
      <c r="G17" s="281"/>
      <c r="H17" s="281"/>
      <c r="I17" s="281"/>
      <c r="J17" s="281"/>
      <c r="K17" s="156"/>
      <c r="L17" s="151"/>
      <c r="M17" s="151"/>
      <c r="N17" s="151"/>
      <c r="O17" s="151"/>
      <c r="P17" s="151"/>
      <c r="Q17" s="151"/>
      <c r="R17" s="151"/>
      <c r="S17" s="151"/>
      <c r="T17" s="151"/>
      <c r="U17" s="151"/>
    </row>
    <row r="18" spans="2:21" ht="14.4" customHeight="1" x14ac:dyDescent="0.3">
      <c r="B18" s="281"/>
      <c r="C18" s="281"/>
      <c r="D18" s="281"/>
      <c r="E18" s="281"/>
      <c r="F18" s="281"/>
      <c r="G18" s="281"/>
      <c r="H18" s="281"/>
      <c r="I18" s="281"/>
      <c r="J18" s="281"/>
      <c r="K18" s="156"/>
      <c r="L18" s="151"/>
      <c r="M18" s="151"/>
      <c r="N18" s="151"/>
      <c r="O18" s="151"/>
      <c r="P18" s="151"/>
      <c r="Q18" s="151"/>
      <c r="R18" s="151"/>
      <c r="S18" s="151"/>
      <c r="T18" s="151"/>
      <c r="U18" s="151"/>
    </row>
    <row r="19" spans="2:21" ht="25.8" x14ac:dyDescent="0.5">
      <c r="B19" s="157" t="s">
        <v>86</v>
      </c>
      <c r="C19" s="151"/>
      <c r="D19" s="151"/>
      <c r="E19" s="151"/>
      <c r="F19" s="151"/>
      <c r="G19" s="151"/>
      <c r="H19" s="151"/>
      <c r="I19" s="151"/>
      <c r="J19" s="151"/>
      <c r="K19" s="151"/>
      <c r="L19" s="151"/>
      <c r="M19" s="151"/>
      <c r="N19" s="151"/>
      <c r="O19" s="151"/>
      <c r="P19" s="151"/>
      <c r="Q19" s="151"/>
      <c r="R19" s="151"/>
      <c r="S19" s="151"/>
      <c r="T19" s="151"/>
      <c r="U19" s="151"/>
    </row>
    <row r="20" spans="2:21" ht="19.95" customHeight="1" x14ac:dyDescent="0.3">
      <c r="B20" s="282" t="s">
        <v>84</v>
      </c>
      <c r="C20" s="282"/>
      <c r="D20" s="282"/>
      <c r="E20" s="282"/>
      <c r="F20" s="282"/>
      <c r="G20" s="282"/>
      <c r="H20" s="282"/>
      <c r="I20" s="282"/>
      <c r="J20" s="282"/>
      <c r="K20" s="151"/>
      <c r="L20" s="151"/>
      <c r="M20" s="151"/>
      <c r="N20" s="151"/>
      <c r="O20" s="151"/>
      <c r="P20" s="151"/>
      <c r="Q20" s="151"/>
      <c r="R20" s="151"/>
      <c r="S20" s="151"/>
      <c r="T20" s="151"/>
      <c r="U20" s="151"/>
    </row>
    <row r="21" spans="2:21" x14ac:dyDescent="0.3">
      <c r="B21" s="282"/>
      <c r="C21" s="282"/>
      <c r="D21" s="282"/>
      <c r="E21" s="282"/>
      <c r="F21" s="282"/>
      <c r="G21" s="282"/>
      <c r="H21" s="282"/>
      <c r="I21" s="282"/>
      <c r="J21" s="282"/>
      <c r="K21" s="151"/>
      <c r="L21" s="151"/>
      <c r="M21" s="151"/>
      <c r="N21" s="151"/>
      <c r="O21" s="151"/>
      <c r="P21" s="151"/>
      <c r="Q21" s="151"/>
      <c r="R21" s="151"/>
      <c r="S21" s="151"/>
      <c r="T21" s="151"/>
      <c r="U21" s="151"/>
    </row>
    <row r="22" spans="2:21" ht="24.6" customHeight="1" x14ac:dyDescent="0.3">
      <c r="B22" s="158" t="s">
        <v>87</v>
      </c>
      <c r="C22" s="151"/>
      <c r="D22" s="151"/>
      <c r="E22" s="151"/>
      <c r="F22" s="151"/>
      <c r="G22" s="151"/>
      <c r="H22" s="151"/>
      <c r="I22" s="151"/>
      <c r="J22" s="151"/>
      <c r="K22" s="151"/>
      <c r="L22" s="151"/>
      <c r="M22" s="151"/>
      <c r="N22" s="151"/>
      <c r="O22" s="151"/>
      <c r="P22" s="151"/>
      <c r="Q22" s="151"/>
      <c r="R22" s="151"/>
      <c r="S22" s="151"/>
      <c r="T22" s="151"/>
      <c r="U22" s="151"/>
    </row>
    <row r="23" spans="2:21" x14ac:dyDescent="0.3">
      <c r="B23" s="282" t="s">
        <v>88</v>
      </c>
      <c r="C23" s="282"/>
      <c r="D23" s="282"/>
      <c r="E23" s="282"/>
      <c r="F23" s="282"/>
      <c r="G23" s="282"/>
      <c r="H23" s="282"/>
      <c r="I23" s="282"/>
      <c r="J23" s="282"/>
      <c r="K23" s="151"/>
      <c r="L23" s="151"/>
      <c r="M23" s="151"/>
      <c r="N23" s="151"/>
      <c r="O23" s="151"/>
      <c r="P23" s="151"/>
      <c r="Q23" s="151"/>
      <c r="R23" s="151"/>
      <c r="S23" s="151"/>
      <c r="T23" s="151"/>
      <c r="U23" s="151"/>
    </row>
    <row r="24" spans="2:21" x14ac:dyDescent="0.3">
      <c r="B24" s="282"/>
      <c r="C24" s="282"/>
      <c r="D24" s="282"/>
      <c r="E24" s="282"/>
      <c r="F24" s="282"/>
      <c r="G24" s="282"/>
      <c r="H24" s="282"/>
      <c r="I24" s="282"/>
      <c r="J24" s="282"/>
      <c r="K24" s="151"/>
      <c r="L24" s="151"/>
      <c r="M24" s="151"/>
      <c r="N24" s="151"/>
      <c r="O24" s="151"/>
      <c r="P24" s="151"/>
      <c r="Q24" s="151"/>
      <c r="R24" s="151"/>
      <c r="S24" s="151"/>
      <c r="T24" s="151"/>
      <c r="U24" s="151"/>
    </row>
    <row r="25" spans="2:21" ht="15.6" customHeight="1" x14ac:dyDescent="0.3">
      <c r="B25" s="279" t="s">
        <v>89</v>
      </c>
      <c r="C25" s="279"/>
      <c r="D25" s="279"/>
      <c r="E25" s="279"/>
      <c r="F25" s="279"/>
      <c r="G25" s="279"/>
      <c r="H25" s="279"/>
      <c r="I25" s="279"/>
      <c r="J25" s="279"/>
      <c r="K25" s="279"/>
      <c r="L25" s="151"/>
      <c r="M25" s="151"/>
      <c r="N25" s="151"/>
      <c r="O25" s="151"/>
      <c r="P25" s="151"/>
      <c r="Q25" s="151"/>
      <c r="R25" s="151"/>
      <c r="S25" s="151"/>
      <c r="T25" s="151"/>
      <c r="U25" s="151"/>
    </row>
    <row r="26" spans="2:21" ht="14.4" customHeight="1" x14ac:dyDescent="0.3">
      <c r="B26" s="279"/>
      <c r="C26" s="279"/>
      <c r="D26" s="279"/>
      <c r="E26" s="279"/>
      <c r="F26" s="279"/>
      <c r="G26" s="279"/>
      <c r="H26" s="279"/>
      <c r="I26" s="279"/>
      <c r="J26" s="279"/>
      <c r="K26" s="279"/>
      <c r="L26" s="151"/>
      <c r="M26" s="151"/>
      <c r="N26" s="151"/>
      <c r="O26" s="151"/>
      <c r="P26" s="151"/>
      <c r="Q26" s="151"/>
      <c r="R26" s="151"/>
      <c r="S26" s="151"/>
      <c r="T26" s="151"/>
      <c r="U26" s="151"/>
    </row>
    <row r="27" spans="2:21" ht="14.4" customHeight="1" x14ac:dyDescent="0.3">
      <c r="B27" s="279"/>
      <c r="C27" s="279"/>
      <c r="D27" s="279"/>
      <c r="E27" s="279"/>
      <c r="F27" s="279"/>
      <c r="G27" s="279"/>
      <c r="H27" s="279"/>
      <c r="I27" s="279"/>
      <c r="J27" s="279"/>
      <c r="K27" s="279"/>
      <c r="L27" s="151"/>
      <c r="M27" s="151"/>
      <c r="N27" s="151"/>
      <c r="O27" s="151"/>
      <c r="P27" s="151"/>
      <c r="Q27" s="151"/>
      <c r="R27" s="151"/>
      <c r="S27" s="151"/>
      <c r="T27" s="151"/>
      <c r="U27" s="151"/>
    </row>
    <row r="28" spans="2:21" ht="25.95" customHeight="1" x14ac:dyDescent="0.3">
      <c r="B28" s="280" t="s">
        <v>90</v>
      </c>
      <c r="C28" s="280"/>
      <c r="D28" s="280"/>
      <c r="E28" s="280"/>
      <c r="F28" s="280"/>
      <c r="G28" s="280"/>
      <c r="H28" s="280"/>
      <c r="I28" s="280"/>
      <c r="J28" s="280"/>
      <c r="K28" s="280"/>
      <c r="L28" s="151"/>
      <c r="M28" s="151"/>
      <c r="N28" s="151"/>
      <c r="O28" s="151"/>
      <c r="P28" s="151"/>
      <c r="Q28" s="151"/>
      <c r="R28" s="151"/>
      <c r="S28" s="151"/>
      <c r="T28" s="151"/>
      <c r="U28" s="151"/>
    </row>
    <row r="29" spans="2:21" ht="14.4" customHeight="1" x14ac:dyDescent="0.3">
      <c r="B29" s="280"/>
      <c r="C29" s="280"/>
      <c r="D29" s="280"/>
      <c r="E29" s="280"/>
      <c r="F29" s="280"/>
      <c r="G29" s="280"/>
      <c r="H29" s="280"/>
      <c r="I29" s="280"/>
      <c r="J29" s="280"/>
      <c r="K29" s="280"/>
      <c r="L29" s="151"/>
      <c r="M29" s="151"/>
      <c r="N29" s="151"/>
      <c r="O29" s="151"/>
      <c r="P29" s="151"/>
      <c r="Q29" s="151"/>
      <c r="R29" s="151"/>
      <c r="S29" s="151"/>
      <c r="T29" s="151"/>
      <c r="U29" s="151"/>
    </row>
    <row r="30" spans="2:21" ht="14.4" customHeight="1" x14ac:dyDescent="0.3">
      <c r="B30" s="280"/>
      <c r="C30" s="280"/>
      <c r="D30" s="280"/>
      <c r="E30" s="280"/>
      <c r="F30" s="280"/>
      <c r="G30" s="280"/>
      <c r="H30" s="280"/>
      <c r="I30" s="280"/>
      <c r="J30" s="280"/>
      <c r="K30" s="280"/>
      <c r="L30" s="151"/>
      <c r="M30" s="151"/>
      <c r="N30" s="151"/>
      <c r="O30" s="151"/>
      <c r="P30" s="151"/>
      <c r="Q30" s="151"/>
      <c r="R30" s="151"/>
      <c r="S30" s="151"/>
      <c r="T30" s="151"/>
      <c r="U30" s="151"/>
    </row>
    <row r="31" spans="2:21" ht="14.4" customHeight="1" x14ac:dyDescent="0.3">
      <c r="B31" s="280"/>
      <c r="C31" s="280"/>
      <c r="D31" s="280"/>
      <c r="E31" s="280"/>
      <c r="F31" s="280"/>
      <c r="G31" s="280"/>
      <c r="H31" s="280"/>
      <c r="I31" s="280"/>
      <c r="J31" s="280"/>
      <c r="K31" s="280"/>
      <c r="L31" s="151"/>
      <c r="M31" s="151"/>
      <c r="N31" s="151"/>
      <c r="O31" s="151"/>
      <c r="P31" s="151"/>
      <c r="Q31" s="151"/>
      <c r="R31" s="151"/>
      <c r="S31" s="151"/>
      <c r="T31" s="151"/>
      <c r="U31" s="151"/>
    </row>
    <row r="32" spans="2:21" ht="14.4" customHeight="1" x14ac:dyDescent="0.3">
      <c r="B32" s="280"/>
      <c r="C32" s="280"/>
      <c r="D32" s="280"/>
      <c r="E32" s="280"/>
      <c r="F32" s="280"/>
      <c r="G32" s="280"/>
      <c r="H32" s="280"/>
      <c r="I32" s="280"/>
      <c r="J32" s="280"/>
      <c r="K32" s="280"/>
      <c r="L32" s="151"/>
      <c r="M32" s="151"/>
      <c r="N32" s="151"/>
      <c r="O32" s="151"/>
      <c r="P32" s="151"/>
      <c r="Q32" s="151"/>
      <c r="R32" s="151"/>
      <c r="S32" s="151"/>
      <c r="T32" s="151"/>
      <c r="U32" s="151"/>
    </row>
    <row r="33" spans="2:21" ht="14.4" customHeight="1" x14ac:dyDescent="0.3">
      <c r="B33" s="280"/>
      <c r="C33" s="280"/>
      <c r="D33" s="280"/>
      <c r="E33" s="280"/>
      <c r="F33" s="280"/>
      <c r="G33" s="280"/>
      <c r="H33" s="280"/>
      <c r="I33" s="280"/>
      <c r="J33" s="280"/>
      <c r="K33" s="280"/>
      <c r="L33" s="151"/>
      <c r="M33" s="151"/>
      <c r="N33" s="151"/>
      <c r="O33" s="151"/>
      <c r="P33" s="151"/>
      <c r="Q33" s="151"/>
      <c r="R33" s="151"/>
      <c r="S33" s="151"/>
      <c r="T33" s="151"/>
      <c r="U33" s="151"/>
    </row>
    <row r="34" spans="2:21" ht="14.4" customHeight="1" x14ac:dyDescent="0.3">
      <c r="B34" s="280"/>
      <c r="C34" s="280"/>
      <c r="D34" s="280"/>
      <c r="E34" s="280"/>
      <c r="F34" s="280"/>
      <c r="G34" s="280"/>
      <c r="H34" s="280"/>
      <c r="I34" s="280"/>
      <c r="J34" s="280"/>
      <c r="K34" s="280"/>
      <c r="L34" s="151"/>
      <c r="M34" s="151"/>
      <c r="N34" s="151"/>
      <c r="O34" s="151"/>
      <c r="P34" s="151"/>
      <c r="Q34" s="151"/>
      <c r="R34" s="151"/>
      <c r="S34" s="151"/>
      <c r="T34" s="151"/>
      <c r="U34" s="151"/>
    </row>
    <row r="35" spans="2:21" x14ac:dyDescent="0.3">
      <c r="B35" s="280"/>
      <c r="C35" s="280"/>
      <c r="D35" s="280"/>
      <c r="E35" s="280"/>
      <c r="F35" s="280"/>
      <c r="G35" s="280"/>
      <c r="H35" s="280"/>
      <c r="I35" s="280"/>
      <c r="J35" s="280"/>
      <c r="K35" s="280"/>
      <c r="L35" s="151"/>
      <c r="M35" s="151"/>
      <c r="N35" s="151"/>
      <c r="O35" s="151"/>
      <c r="P35" s="151"/>
      <c r="Q35" s="151"/>
      <c r="R35" s="151"/>
      <c r="S35" s="151"/>
      <c r="T35" s="151"/>
      <c r="U35" s="151"/>
    </row>
    <row r="36" spans="2:21" x14ac:dyDescent="0.3">
      <c r="B36" s="280"/>
      <c r="C36" s="280"/>
      <c r="D36" s="280"/>
      <c r="E36" s="280"/>
      <c r="F36" s="280"/>
      <c r="G36" s="280"/>
      <c r="H36" s="280"/>
      <c r="I36" s="280"/>
      <c r="J36" s="280"/>
      <c r="K36" s="280"/>
      <c r="L36" s="151"/>
      <c r="M36" s="151"/>
      <c r="N36" s="151"/>
      <c r="O36" s="151"/>
      <c r="P36" s="151"/>
      <c r="Q36" s="151"/>
      <c r="R36" s="151"/>
      <c r="S36" s="151"/>
      <c r="T36" s="151"/>
      <c r="U36" s="151"/>
    </row>
    <row r="37" spans="2:21" x14ac:dyDescent="0.3">
      <c r="B37" s="280"/>
      <c r="C37" s="280"/>
      <c r="D37" s="280"/>
      <c r="E37" s="280"/>
      <c r="F37" s="280"/>
      <c r="G37" s="280"/>
      <c r="H37" s="280"/>
      <c r="I37" s="280"/>
      <c r="J37" s="280"/>
      <c r="K37" s="280"/>
      <c r="L37" s="151"/>
      <c r="M37" s="151"/>
      <c r="N37" s="151"/>
      <c r="O37" s="151"/>
      <c r="P37" s="151"/>
      <c r="Q37" s="151"/>
      <c r="R37" s="151"/>
      <c r="S37" s="151"/>
      <c r="T37" s="151"/>
      <c r="U37" s="151"/>
    </row>
    <row r="38" spans="2:21" x14ac:dyDescent="0.3">
      <c r="B38" s="151"/>
      <c r="C38" s="151"/>
      <c r="D38" s="151"/>
      <c r="E38" s="151"/>
      <c r="F38" s="151"/>
      <c r="G38" s="151"/>
      <c r="H38" s="151"/>
      <c r="I38" s="151"/>
      <c r="J38" s="151"/>
      <c r="K38" s="151"/>
      <c r="L38" s="151"/>
      <c r="M38" s="151"/>
      <c r="N38" s="151"/>
      <c r="O38" s="151"/>
      <c r="P38" s="151"/>
      <c r="Q38" s="151"/>
      <c r="R38" s="151"/>
      <c r="S38" s="151"/>
      <c r="T38" s="151"/>
      <c r="U38" s="151"/>
    </row>
    <row r="39" spans="2:21" x14ac:dyDescent="0.3">
      <c r="B39" s="266" t="s">
        <v>91</v>
      </c>
      <c r="C39" s="266"/>
      <c r="D39" s="266"/>
      <c r="E39" s="266"/>
      <c r="F39" s="266"/>
      <c r="G39" s="266"/>
      <c r="H39" s="266"/>
      <c r="I39" s="266"/>
      <c r="J39" s="266"/>
      <c r="K39" s="266"/>
      <c r="L39" s="151"/>
      <c r="M39" s="151"/>
      <c r="N39" s="151"/>
      <c r="O39" s="151"/>
      <c r="P39" s="151"/>
      <c r="Q39" s="151"/>
      <c r="R39" s="151"/>
      <c r="S39" s="151"/>
      <c r="T39" s="151"/>
      <c r="U39" s="151"/>
    </row>
    <row r="40" spans="2:21" ht="19.2" customHeight="1" x14ac:dyDescent="0.3">
      <c r="B40" s="266"/>
      <c r="C40" s="266"/>
      <c r="D40" s="266"/>
      <c r="E40" s="266"/>
      <c r="F40" s="266"/>
      <c r="G40" s="266"/>
      <c r="H40" s="266"/>
      <c r="I40" s="266"/>
      <c r="J40" s="266"/>
      <c r="K40" s="266"/>
      <c r="L40" s="151"/>
      <c r="M40" s="151"/>
      <c r="N40" s="151"/>
      <c r="O40" s="151"/>
      <c r="P40" s="151"/>
      <c r="Q40" s="151"/>
      <c r="R40" s="151"/>
      <c r="S40" s="151"/>
      <c r="T40" s="151"/>
      <c r="U40" s="151"/>
    </row>
    <row r="44" spans="2:21" x14ac:dyDescent="0.3">
      <c r="B44" s="267" t="s">
        <v>93</v>
      </c>
      <c r="C44" s="267"/>
    </row>
    <row r="45" spans="2:21" x14ac:dyDescent="0.3">
      <c r="B45" s="150" t="s">
        <v>92</v>
      </c>
    </row>
  </sheetData>
  <sheetProtection algorithmName="SHA-512" hashValue="MYo2ReOOgeDQow7mNkdq/fUaCuFurCu59FIVmP0N8jt2WURd8W1LFFGXjyuCdib8JWjYHqgdJenFkRbY6xm3YA==" saltValue="NN4nX88h+1+qnt5vcGEYqA==" spinCount="100000" sheet="1" objects="1" scenarios="1"/>
  <mergeCells count="12">
    <mergeCell ref="B39:K40"/>
    <mergeCell ref="B44:C44"/>
    <mergeCell ref="B6:K8"/>
    <mergeCell ref="A1:K3"/>
    <mergeCell ref="L2:T3"/>
    <mergeCell ref="B25:K27"/>
    <mergeCell ref="B28:K37"/>
    <mergeCell ref="B15:J18"/>
    <mergeCell ref="B20:J21"/>
    <mergeCell ref="B23:J24"/>
    <mergeCell ref="B10:J10"/>
    <mergeCell ref="B13:J13"/>
  </mergeCells>
  <hyperlinks>
    <hyperlink ref="B45" r:id="rId1" xr:uid="{2A743265-3A9D-41DE-AF8F-FC48BE4B5693}"/>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B3987-4DC4-4D6C-88CB-9F03350FAB5E}">
  <sheetPr codeName="Sheet4"/>
  <dimension ref="A1:AA118"/>
  <sheetViews>
    <sheetView showGridLines="0" tabSelected="1" zoomScale="80" zoomScaleNormal="80" workbookViewId="0">
      <selection activeCell="B4" sqref="B4"/>
    </sheetView>
  </sheetViews>
  <sheetFormatPr defaultColWidth="8.88671875" defaultRowHeight="14.4" x14ac:dyDescent="0.3"/>
  <cols>
    <col min="1" max="1" width="3" style="10" bestFit="1" customWidth="1"/>
    <col min="2" max="2" width="17.44140625" style="10" customWidth="1"/>
    <col min="3" max="3" width="12.5546875" style="10" customWidth="1"/>
    <col min="4" max="4" width="9.6640625" style="10" customWidth="1"/>
    <col min="5" max="5" width="10.6640625" style="10" customWidth="1"/>
    <col min="6" max="7" width="8.88671875" style="10"/>
    <col min="8" max="8" width="9.6640625" style="10" customWidth="1"/>
    <col min="9" max="11" width="8.88671875" style="10"/>
    <col min="12" max="12" width="7.6640625" style="10" customWidth="1"/>
    <col min="13" max="15" width="8.88671875" style="10"/>
    <col min="16" max="16" width="8" style="10" customWidth="1"/>
    <col min="17" max="17" width="3.88671875" style="10" customWidth="1"/>
    <col min="18" max="18" width="6.109375" style="10" customWidth="1"/>
    <col min="19" max="19" width="12" style="10" customWidth="1"/>
    <col min="20" max="20" width="14.33203125" style="10" customWidth="1"/>
    <col min="21" max="21" width="12.5546875" style="10" bestFit="1" customWidth="1"/>
    <col min="22" max="22" width="11.6640625" style="10" customWidth="1"/>
    <col min="23" max="24" width="8.88671875" style="10"/>
    <col min="25" max="25" width="11" style="10" hidden="1" customWidth="1"/>
    <col min="26" max="16384" width="8.88671875" style="10"/>
  </cols>
  <sheetData>
    <row r="1" spans="1:25" ht="31.2" customHeight="1" thickBot="1" x14ac:dyDescent="0.35">
      <c r="A1" s="56"/>
      <c r="B1" s="56"/>
      <c r="C1" s="56"/>
      <c r="D1" s="56"/>
      <c r="E1" s="56"/>
      <c r="F1" s="56"/>
      <c r="G1" s="56"/>
      <c r="H1" s="204"/>
      <c r="I1" s="318" t="s">
        <v>77</v>
      </c>
      <c r="J1" s="319"/>
      <c r="K1" s="319"/>
      <c r="L1" s="320"/>
      <c r="M1" s="56"/>
      <c r="N1" s="56"/>
      <c r="O1" s="56"/>
      <c r="P1" s="56"/>
      <c r="Q1" s="56"/>
      <c r="R1" s="32" t="s">
        <v>45</v>
      </c>
      <c r="S1" s="161" t="s">
        <v>95</v>
      </c>
      <c r="T1" s="160" t="s">
        <v>56</v>
      </c>
      <c r="U1" s="33" t="s">
        <v>76</v>
      </c>
      <c r="V1" s="34" t="s">
        <v>58</v>
      </c>
      <c r="W1" s="225" t="s">
        <v>113</v>
      </c>
    </row>
    <row r="2" spans="1:25" ht="16.95" customHeight="1" thickBot="1" x14ac:dyDescent="0.35">
      <c r="A2" s="56"/>
      <c r="B2" s="56"/>
      <c r="C2" s="56"/>
      <c r="D2" s="56"/>
      <c r="E2" s="56"/>
      <c r="F2" s="205"/>
      <c r="G2" s="205"/>
      <c r="H2" s="205"/>
      <c r="I2" s="205"/>
      <c r="J2" s="56"/>
      <c r="K2" s="56"/>
      <c r="L2" s="56"/>
      <c r="M2" s="56"/>
      <c r="N2" s="56"/>
      <c r="O2" s="56"/>
      <c r="P2" s="56"/>
      <c r="Q2" s="56"/>
      <c r="R2" s="92">
        <f>'OI Analysis'!A88</f>
        <v>0</v>
      </c>
      <c r="S2" s="179">
        <f>'OI Analysis'!B88</f>
        <v>0</v>
      </c>
      <c r="T2" s="179">
        <f>'OI Analysis'!C88</f>
        <v>0</v>
      </c>
      <c r="U2" s="179">
        <f>'OI Analysis'!D88</f>
        <v>0</v>
      </c>
      <c r="V2" s="162" t="str">
        <f>IF(U2=0,"No Data",IF(U2&gt;=1000000,"CALL BUY",IF(U2&lt;=-500000,"PUT BUY",IF(U2&gt;=500001,"No Trade",IF(U2&gt;=-499999,"No Trade","")))))</f>
        <v>No Data</v>
      </c>
      <c r="W2" s="226" t="str">
        <f>IFERROR((Y2/U3),"")</f>
        <v/>
      </c>
      <c r="Y2" s="224">
        <f>U2-U3</f>
        <v>0</v>
      </c>
    </row>
    <row r="3" spans="1:25" ht="29.4" customHeight="1" thickBot="1" x14ac:dyDescent="0.35">
      <c r="A3" s="56"/>
      <c r="B3" s="22" t="s">
        <v>47</v>
      </c>
      <c r="C3" s="23" t="s">
        <v>17</v>
      </c>
      <c r="D3" s="361" t="s">
        <v>43</v>
      </c>
      <c r="E3" s="361"/>
      <c r="F3" s="364" t="s">
        <v>48</v>
      </c>
      <c r="G3" s="364"/>
      <c r="H3" s="364"/>
      <c r="I3" s="24">
        <f>OptionAnalysis!N27/OptionAnalysis!B27</f>
        <v>0.77312942491246772</v>
      </c>
      <c r="J3" s="367" t="s">
        <v>54</v>
      </c>
      <c r="K3" s="367"/>
      <c r="L3" s="367"/>
      <c r="M3" s="25" t="s">
        <v>45</v>
      </c>
      <c r="N3" s="353"/>
      <c r="O3" s="354"/>
      <c r="P3" s="355"/>
      <c r="Q3" s="56"/>
      <c r="R3" s="92">
        <f>'OI Analysis'!A87</f>
        <v>0</v>
      </c>
      <c r="S3" s="179">
        <f>'OI Analysis'!B87</f>
        <v>0</v>
      </c>
      <c r="T3" s="179">
        <f>'OI Analysis'!C87</f>
        <v>0</v>
      </c>
      <c r="U3" s="179">
        <f>'OI Analysis'!D87</f>
        <v>0</v>
      </c>
      <c r="V3" s="162" t="str">
        <f t="shared" ref="V3:V21" si="0">IF(U3=0,"No Data",IF(U3&gt;=1000000,"CALL BUY",IF(U3&lt;=-500000,"PUT BUY",IF(U3&gt;=500001,"No Trade",IF(U3&gt;=-499999,"No Trade","")))))</f>
        <v>No Data</v>
      </c>
      <c r="W3" s="226" t="str">
        <f t="shared" ref="W3:W21" si="1">IFERROR((Y3/U4),"")</f>
        <v/>
      </c>
      <c r="X3" s="218"/>
      <c r="Y3" s="224">
        <f t="shared" ref="Y3:Y21" si="2">U3-U4</f>
        <v>0</v>
      </c>
    </row>
    <row r="4" spans="1:25" ht="27" customHeight="1" thickBot="1" x14ac:dyDescent="0.35">
      <c r="A4" s="56"/>
      <c r="B4" s="26" t="s">
        <v>42</v>
      </c>
      <c r="C4" s="27" t="str">
        <f>'NiftyOption Chain'!E4</f>
        <v>10-Nov-2022</v>
      </c>
      <c r="D4" s="362">
        <f>'NiftyOption Chain'!F2</f>
        <v>18222.349999999999</v>
      </c>
      <c r="E4" s="363"/>
      <c r="F4" s="365" t="str">
        <f>IF(I3&gt;0.5,"OVERBOUGHT",IF(I3&lt;=0.9,"BEARISH",IF(I3&gt;=1.5,"OVERSOLD",IF(I3&gt;=1.1,"BULLISH","NETURAL"))))</f>
        <v>OVERBOUGHT</v>
      </c>
      <c r="G4" s="365"/>
      <c r="H4" s="365"/>
      <c r="I4" s="366"/>
      <c r="J4" s="368">
        <f>IFERROR('Max Pain'!$G$19,"")</f>
        <v>18200</v>
      </c>
      <c r="K4" s="369"/>
      <c r="L4" s="369"/>
      <c r="M4" s="91">
        <v>15</v>
      </c>
      <c r="N4" s="11"/>
      <c r="O4" s="12"/>
      <c r="P4" s="13"/>
      <c r="Q4" s="56"/>
      <c r="R4" s="92">
        <f>'OI Analysis'!A86</f>
        <v>0</v>
      </c>
      <c r="S4" s="179">
        <f>'OI Analysis'!B86</f>
        <v>0</v>
      </c>
      <c r="T4" s="179">
        <f>'OI Analysis'!C86</f>
        <v>0</v>
      </c>
      <c r="U4" s="179">
        <f>'OI Analysis'!D86</f>
        <v>0</v>
      </c>
      <c r="V4" s="162" t="str">
        <f t="shared" si="0"/>
        <v>No Data</v>
      </c>
      <c r="W4" s="226" t="str">
        <f t="shared" si="1"/>
        <v/>
      </c>
      <c r="X4" s="218"/>
      <c r="Y4" s="224">
        <f t="shared" si="2"/>
        <v>0</v>
      </c>
    </row>
    <row r="5" spans="1:25" ht="18" thickBot="1" x14ac:dyDescent="0.35">
      <c r="A5" s="56"/>
      <c r="B5" s="28"/>
      <c r="C5" s="29"/>
      <c r="D5" s="29"/>
      <c r="E5" s="29"/>
      <c r="F5" s="29"/>
      <c r="G5" s="29"/>
      <c r="H5" s="29"/>
      <c r="I5" s="29"/>
      <c r="J5" s="29"/>
      <c r="K5" s="29"/>
      <c r="L5" s="29"/>
      <c r="M5" s="29"/>
      <c r="N5" s="16"/>
      <c r="O5" s="17"/>
      <c r="P5" s="18"/>
      <c r="Q5" s="56"/>
      <c r="R5" s="92">
        <f>'OI Analysis'!A85</f>
        <v>0</v>
      </c>
      <c r="S5" s="179">
        <f>'OI Analysis'!B85</f>
        <v>0</v>
      </c>
      <c r="T5" s="179">
        <f>'OI Analysis'!C85</f>
        <v>0</v>
      </c>
      <c r="U5" s="180">
        <f>'OI Analysis'!D85</f>
        <v>0</v>
      </c>
      <c r="V5" s="162" t="str">
        <f t="shared" si="0"/>
        <v>No Data</v>
      </c>
      <c r="W5" s="226" t="str">
        <f t="shared" si="1"/>
        <v/>
      </c>
      <c r="X5" s="218"/>
      <c r="Y5" s="224">
        <f t="shared" si="2"/>
        <v>0</v>
      </c>
    </row>
    <row r="6" spans="1:25" ht="18" thickBot="1" x14ac:dyDescent="0.35">
      <c r="A6" s="56"/>
      <c r="B6" s="356" t="s">
        <v>49</v>
      </c>
      <c r="C6" s="357"/>
      <c r="D6" s="358" t="str">
        <f>'NiftyOption Chain'!C122</f>
        <v>09-Nov-2022 09:59:20</v>
      </c>
      <c r="E6" s="359"/>
      <c r="F6" s="359"/>
      <c r="G6" s="360"/>
      <c r="H6" s="29"/>
      <c r="I6" s="29"/>
      <c r="J6" s="29"/>
      <c r="K6" s="29"/>
      <c r="L6" s="29"/>
      <c r="M6" s="29"/>
      <c r="N6" s="11"/>
      <c r="O6" s="12"/>
      <c r="P6" s="13"/>
      <c r="Q6" s="56"/>
      <c r="R6" s="92">
        <f>'OI Analysis'!A84</f>
        <v>0</v>
      </c>
      <c r="S6" s="179">
        <f>'OI Analysis'!B84</f>
        <v>0</v>
      </c>
      <c r="T6" s="179">
        <f>'OI Analysis'!C84</f>
        <v>0</v>
      </c>
      <c r="U6" s="180">
        <f>'OI Analysis'!D84</f>
        <v>0</v>
      </c>
      <c r="V6" s="162" t="str">
        <f t="shared" si="0"/>
        <v>No Data</v>
      </c>
      <c r="W6" s="226" t="str">
        <f t="shared" si="1"/>
        <v/>
      </c>
      <c r="X6" s="218"/>
      <c r="Y6" s="224">
        <f t="shared" si="2"/>
        <v>0</v>
      </c>
    </row>
    <row r="7" spans="1:25" ht="18" thickBot="1" x14ac:dyDescent="0.35">
      <c r="A7" s="56"/>
      <c r="B7" s="30"/>
      <c r="C7" s="31"/>
      <c r="D7" s="31"/>
      <c r="E7" s="31"/>
      <c r="F7" s="31"/>
      <c r="G7" s="31"/>
      <c r="H7" s="31"/>
      <c r="I7" s="31"/>
      <c r="J7" s="31"/>
      <c r="K7" s="31"/>
      <c r="L7" s="31"/>
      <c r="M7" s="31"/>
      <c r="N7" s="19"/>
      <c r="O7" s="20"/>
      <c r="P7" s="21"/>
      <c r="Q7" s="56"/>
      <c r="R7" s="92">
        <f>'OI Analysis'!A83</f>
        <v>0</v>
      </c>
      <c r="S7" s="179">
        <f>'OI Analysis'!B83</f>
        <v>0</v>
      </c>
      <c r="T7" s="179">
        <f>'OI Analysis'!C83</f>
        <v>0</v>
      </c>
      <c r="U7" s="180">
        <f>'OI Analysis'!D83</f>
        <v>0</v>
      </c>
      <c r="V7" s="162" t="str">
        <f t="shared" si="0"/>
        <v>No Data</v>
      </c>
      <c r="W7" s="226" t="str">
        <f t="shared" si="1"/>
        <v/>
      </c>
      <c r="X7" s="218"/>
      <c r="Y7" s="224">
        <f t="shared" si="2"/>
        <v>0</v>
      </c>
    </row>
    <row r="8" spans="1:25" ht="17.399999999999999" x14ac:dyDescent="0.3">
      <c r="A8" s="56"/>
      <c r="B8" s="56"/>
      <c r="C8" s="56"/>
      <c r="D8" s="56"/>
      <c r="E8" s="56"/>
      <c r="F8" s="56"/>
      <c r="G8" s="56"/>
      <c r="H8" s="56"/>
      <c r="I8" s="56"/>
      <c r="J8" s="56"/>
      <c r="K8" s="56"/>
      <c r="L8" s="56"/>
      <c r="M8" s="56"/>
      <c r="N8" s="56"/>
      <c r="O8" s="56"/>
      <c r="P8" s="56"/>
      <c r="Q8" s="56"/>
      <c r="R8" s="92">
        <f>'OI Analysis'!A82</f>
        <v>0</v>
      </c>
      <c r="S8" s="179">
        <f>'OI Analysis'!B82</f>
        <v>0</v>
      </c>
      <c r="T8" s="179">
        <f>'OI Analysis'!C82</f>
        <v>0</v>
      </c>
      <c r="U8" s="180">
        <f>'OI Analysis'!D82</f>
        <v>0</v>
      </c>
      <c r="V8" s="162" t="str">
        <f t="shared" si="0"/>
        <v>No Data</v>
      </c>
      <c r="W8" s="226" t="str">
        <f t="shared" si="1"/>
        <v/>
      </c>
      <c r="X8" s="218"/>
      <c r="Y8" s="224">
        <f t="shared" si="2"/>
        <v>0</v>
      </c>
    </row>
    <row r="9" spans="1:25" ht="18" thickBot="1" x14ac:dyDescent="0.35">
      <c r="A9" s="56"/>
      <c r="B9" s="56"/>
      <c r="C9" s="56"/>
      <c r="D9" s="56"/>
      <c r="E9" s="56"/>
      <c r="F9" s="56"/>
      <c r="G9" s="56"/>
      <c r="H9" s="56"/>
      <c r="I9" s="56"/>
      <c r="J9" s="56"/>
      <c r="K9" s="56"/>
      <c r="L9" s="56"/>
      <c r="M9" s="56"/>
      <c r="N9" s="56"/>
      <c r="O9" s="56"/>
      <c r="P9" s="56"/>
      <c r="Q9" s="56"/>
      <c r="R9" s="92">
        <f>'OI Analysis'!A81</f>
        <v>0</v>
      </c>
      <c r="S9" s="179">
        <f>'OI Analysis'!B81</f>
        <v>0</v>
      </c>
      <c r="T9" s="179">
        <f>'OI Analysis'!C81</f>
        <v>0</v>
      </c>
      <c r="U9" s="180">
        <f>'OI Analysis'!D81</f>
        <v>0</v>
      </c>
      <c r="V9" s="162" t="str">
        <f t="shared" si="0"/>
        <v>No Data</v>
      </c>
      <c r="W9" s="226" t="str">
        <f t="shared" si="1"/>
        <v/>
      </c>
      <c r="X9" s="218"/>
      <c r="Y9" s="224">
        <f t="shared" si="2"/>
        <v>0</v>
      </c>
    </row>
    <row r="10" spans="1:25" ht="19.8" x14ac:dyDescent="0.4">
      <c r="A10" s="56"/>
      <c r="B10" s="206" t="s">
        <v>69</v>
      </c>
      <c r="C10" s="323" t="s">
        <v>70</v>
      </c>
      <c r="D10" s="323"/>
      <c r="E10" s="324" t="s">
        <v>71</v>
      </c>
      <c r="F10" s="324"/>
      <c r="G10" s="321" t="s">
        <v>72</v>
      </c>
      <c r="H10" s="322"/>
      <c r="I10" s="374" t="s">
        <v>70</v>
      </c>
      <c r="J10" s="375"/>
      <c r="K10" s="324" t="s">
        <v>71</v>
      </c>
      <c r="L10" s="341"/>
      <c r="M10" s="342" t="s">
        <v>68</v>
      </c>
      <c r="N10" s="343"/>
      <c r="O10" s="343"/>
      <c r="P10" s="344"/>
      <c r="Q10" s="56"/>
      <c r="R10" s="92">
        <f>'OI Analysis'!A80</f>
        <v>0</v>
      </c>
      <c r="S10" s="179">
        <f>'OI Analysis'!B80</f>
        <v>0</v>
      </c>
      <c r="T10" s="179">
        <f>'OI Analysis'!C80</f>
        <v>0</v>
      </c>
      <c r="U10" s="180">
        <f>'OI Analysis'!D80</f>
        <v>0</v>
      </c>
      <c r="V10" s="162" t="str">
        <f t="shared" si="0"/>
        <v>No Data</v>
      </c>
      <c r="W10" s="226" t="str">
        <f t="shared" si="1"/>
        <v/>
      </c>
      <c r="X10" s="218"/>
      <c r="Y10" s="224">
        <f t="shared" si="2"/>
        <v>0</v>
      </c>
    </row>
    <row r="11" spans="1:25" ht="23.4" customHeight="1" x14ac:dyDescent="0.3">
      <c r="A11" s="56"/>
      <c r="B11" s="207" t="s">
        <v>39</v>
      </c>
      <c r="C11" s="327">
        <f>INDEX(OptionAnalysis!$H$6:$H$26,MATCH(Dashboard!C12,OptionAnalysis!B6:B26,0))</f>
        <v>18300</v>
      </c>
      <c r="D11" s="327"/>
      <c r="E11" s="327">
        <f>INDEX(OptionAnalysis!$H$6:$H$26,MATCH(Dashboard!E12,OptionAnalysis!N6:N26,0))</f>
        <v>18000</v>
      </c>
      <c r="F11" s="327"/>
      <c r="G11" s="372" t="s">
        <v>39</v>
      </c>
      <c r="H11" s="373"/>
      <c r="I11" s="325">
        <f>INDEX(OptionAnalysis!$H$6:$H$26,MATCH(Dashboard!I12,OptionAnalysis!C6:C26,0))</f>
        <v>18300</v>
      </c>
      <c r="J11" s="326"/>
      <c r="K11" s="327">
        <f>INDEX(OptionAnalysis!$H$6:$H$26,MATCH(Dashboard!K12,OptionAnalysis!M6:M26,0))</f>
        <v>18200</v>
      </c>
      <c r="L11" s="336"/>
      <c r="M11" s="345" t="s">
        <v>16</v>
      </c>
      <c r="N11" s="346"/>
      <c r="O11" s="349">
        <f>IFERROR(OptionAnalysis!C27,"")</f>
        <v>17382550</v>
      </c>
      <c r="P11" s="350"/>
      <c r="Q11" s="56"/>
      <c r="R11" s="92">
        <f>'OI Analysis'!A79</f>
        <v>0</v>
      </c>
      <c r="S11" s="179">
        <f>'OI Analysis'!B79</f>
        <v>0</v>
      </c>
      <c r="T11" s="179">
        <f>'OI Analysis'!C79</f>
        <v>0</v>
      </c>
      <c r="U11" s="180">
        <f>'OI Analysis'!D79</f>
        <v>0</v>
      </c>
      <c r="V11" s="162" t="str">
        <f t="shared" si="0"/>
        <v>No Data</v>
      </c>
      <c r="W11" s="226" t="str">
        <f t="shared" si="1"/>
        <v/>
      </c>
      <c r="X11" s="218"/>
      <c r="Y11" s="224">
        <f t="shared" si="2"/>
        <v>0</v>
      </c>
    </row>
    <row r="12" spans="1:25" ht="20.399999999999999" customHeight="1" thickBot="1" x14ac:dyDescent="0.35">
      <c r="A12" s="56"/>
      <c r="B12" s="207" t="s">
        <v>35</v>
      </c>
      <c r="C12" s="327">
        <f>MAX(OptionAnalysis!B6:B26)</f>
        <v>222744</v>
      </c>
      <c r="D12" s="327"/>
      <c r="E12" s="327">
        <f>MAX(OptionAnalysis!N6:N26)</f>
        <v>218064</v>
      </c>
      <c r="F12" s="327"/>
      <c r="G12" s="372" t="s">
        <v>35</v>
      </c>
      <c r="H12" s="373"/>
      <c r="I12" s="325">
        <f>MAX(OptionAnalysis!C6:C26)</f>
        <v>108256</v>
      </c>
      <c r="J12" s="326"/>
      <c r="K12" s="327">
        <f>MAX(OptionAnalysis!M6:M26)</f>
        <v>62658</v>
      </c>
      <c r="L12" s="336"/>
      <c r="M12" s="347" t="s">
        <v>15</v>
      </c>
      <c r="N12" s="348"/>
      <c r="O12" s="351">
        <f>IFERROR(OptionAnalysis!M27,"")</f>
        <v>17446900</v>
      </c>
      <c r="P12" s="352"/>
      <c r="Q12" s="56"/>
      <c r="R12" s="92">
        <f>'OI Analysis'!A78</f>
        <v>0</v>
      </c>
      <c r="S12" s="179">
        <f>'OI Analysis'!B78</f>
        <v>0</v>
      </c>
      <c r="T12" s="179">
        <f>'OI Analysis'!C78</f>
        <v>0</v>
      </c>
      <c r="U12" s="180">
        <f>'OI Analysis'!D78</f>
        <v>0</v>
      </c>
      <c r="V12" s="162" t="str">
        <f t="shared" si="0"/>
        <v>No Data</v>
      </c>
      <c r="W12" s="226" t="str">
        <f t="shared" si="1"/>
        <v/>
      </c>
      <c r="X12" s="218"/>
      <c r="Y12" s="224">
        <f t="shared" si="2"/>
        <v>0</v>
      </c>
    </row>
    <row r="13" spans="1:25" ht="24" customHeight="1" x14ac:dyDescent="0.3">
      <c r="A13" s="56"/>
      <c r="B13" s="370"/>
      <c r="C13" s="328"/>
      <c r="D13" s="329"/>
      <c r="E13" s="329"/>
      <c r="F13" s="330"/>
      <c r="G13" s="328"/>
      <c r="H13" s="330"/>
      <c r="I13" s="328"/>
      <c r="J13" s="329"/>
      <c r="K13" s="329"/>
      <c r="L13" s="334"/>
      <c r="M13" s="337" t="str">
        <f>IF(O12&gt;O11,"Bullish",IF(O12&lt;O11,"Bearish",""))</f>
        <v>Bullish</v>
      </c>
      <c r="N13" s="337"/>
      <c r="O13" s="337"/>
      <c r="P13" s="338"/>
      <c r="Q13" s="56"/>
      <c r="R13" s="92">
        <f>'OI Analysis'!A77</f>
        <v>0</v>
      </c>
      <c r="S13" s="179">
        <f>'OI Analysis'!B77</f>
        <v>0</v>
      </c>
      <c r="T13" s="179">
        <f>'OI Analysis'!C77</f>
        <v>0</v>
      </c>
      <c r="U13" s="180">
        <f>'OI Analysis'!D77</f>
        <v>0</v>
      </c>
      <c r="V13" s="162" t="str">
        <f t="shared" si="0"/>
        <v>No Data</v>
      </c>
      <c r="W13" s="226" t="str">
        <f t="shared" si="1"/>
        <v/>
      </c>
      <c r="X13" s="218"/>
      <c r="Y13" s="224">
        <f t="shared" si="2"/>
        <v>0</v>
      </c>
    </row>
    <row r="14" spans="1:25" ht="19.2" customHeight="1" thickBot="1" x14ac:dyDescent="0.35">
      <c r="A14" s="56"/>
      <c r="B14" s="371"/>
      <c r="C14" s="331"/>
      <c r="D14" s="332"/>
      <c r="E14" s="332"/>
      <c r="F14" s="333"/>
      <c r="G14" s="331"/>
      <c r="H14" s="333"/>
      <c r="I14" s="331"/>
      <c r="J14" s="332"/>
      <c r="K14" s="332"/>
      <c r="L14" s="335"/>
      <c r="M14" s="339"/>
      <c r="N14" s="339"/>
      <c r="O14" s="339"/>
      <c r="P14" s="340"/>
      <c r="Q14" s="56"/>
      <c r="R14" s="93">
        <f>'OI Analysis'!A76</f>
        <v>0</v>
      </c>
      <c r="S14" s="179">
        <f>'OI Analysis'!B76</f>
        <v>0</v>
      </c>
      <c r="T14" s="179">
        <f>'OI Analysis'!C76</f>
        <v>0</v>
      </c>
      <c r="U14" s="180">
        <f>'OI Analysis'!D76</f>
        <v>0</v>
      </c>
      <c r="V14" s="162" t="str">
        <f t="shared" si="0"/>
        <v>No Data</v>
      </c>
      <c r="W14" s="226" t="str">
        <f t="shared" si="1"/>
        <v/>
      </c>
      <c r="X14" s="218"/>
      <c r="Y14" s="224">
        <f t="shared" si="2"/>
        <v>0</v>
      </c>
    </row>
    <row r="15" spans="1:25" ht="18" thickBot="1" x14ac:dyDescent="0.35">
      <c r="A15" s="56"/>
      <c r="B15" s="56"/>
      <c r="C15" s="56"/>
      <c r="D15" s="56"/>
      <c r="E15" s="56"/>
      <c r="F15" s="56"/>
      <c r="G15" s="56"/>
      <c r="H15" s="56"/>
      <c r="Q15" s="56"/>
      <c r="R15" s="93">
        <f>'OI Analysis'!A75</f>
        <v>0</v>
      </c>
      <c r="S15" s="179">
        <f>'OI Analysis'!B75</f>
        <v>0</v>
      </c>
      <c r="T15" s="179">
        <f>'OI Analysis'!C75</f>
        <v>0</v>
      </c>
      <c r="U15" s="180">
        <f>'OI Analysis'!D75</f>
        <v>0</v>
      </c>
      <c r="V15" s="162" t="str">
        <f t="shared" si="0"/>
        <v>No Data</v>
      </c>
      <c r="W15" s="226" t="str">
        <f t="shared" si="1"/>
        <v/>
      </c>
      <c r="X15" s="218"/>
      <c r="Y15" s="224">
        <f t="shared" si="2"/>
        <v>0</v>
      </c>
    </row>
    <row r="16" spans="1:25" ht="18" thickBot="1" x14ac:dyDescent="0.35">
      <c r="A16" s="56"/>
      <c r="B16" s="56"/>
      <c r="C16" s="56"/>
      <c r="D16" s="56"/>
      <c r="E16" s="56"/>
      <c r="F16" s="56"/>
      <c r="G16" s="56"/>
      <c r="H16" s="56"/>
      <c r="I16" s="176" t="s">
        <v>45</v>
      </c>
      <c r="J16" s="202" t="s">
        <v>99</v>
      </c>
      <c r="K16" s="297" t="s">
        <v>100</v>
      </c>
      <c r="L16" s="298"/>
      <c r="M16" s="56"/>
      <c r="N16" s="56"/>
      <c r="O16" s="56"/>
      <c r="P16" s="56"/>
      <c r="Q16" s="56"/>
      <c r="R16" s="93">
        <f>'OI Analysis'!A74</f>
        <v>0</v>
      </c>
      <c r="S16" s="179">
        <f>'OI Analysis'!B74</f>
        <v>0</v>
      </c>
      <c r="T16" s="179">
        <f>'OI Analysis'!C74</f>
        <v>0</v>
      </c>
      <c r="U16" s="180">
        <f>'OI Analysis'!D74</f>
        <v>0</v>
      </c>
      <c r="V16" s="162" t="str">
        <f t="shared" si="0"/>
        <v>No Data</v>
      </c>
      <c r="W16" s="226" t="str">
        <f t="shared" si="1"/>
        <v/>
      </c>
      <c r="X16" s="218"/>
      <c r="Y16" s="224">
        <f t="shared" si="2"/>
        <v>0</v>
      </c>
    </row>
    <row r="17" spans="1:27" ht="16.2" customHeight="1" thickBot="1" x14ac:dyDescent="0.35">
      <c r="A17" s="56"/>
      <c r="B17" s="165" t="s">
        <v>96</v>
      </c>
      <c r="C17" s="391" t="s">
        <v>8</v>
      </c>
      <c r="D17" s="314" t="s">
        <v>98</v>
      </c>
      <c r="E17" s="315"/>
      <c r="F17" s="305" t="s">
        <v>97</v>
      </c>
      <c r="G17" s="306"/>
      <c r="H17" s="56"/>
      <c r="I17" s="175">
        <v>3</v>
      </c>
      <c r="J17" s="203"/>
      <c r="K17" s="299"/>
      <c r="L17" s="300"/>
      <c r="M17" s="56"/>
      <c r="N17" s="56"/>
      <c r="O17" s="56"/>
      <c r="P17" s="56"/>
      <c r="Q17" s="56"/>
      <c r="R17" s="93">
        <f>'OI Analysis'!A73</f>
        <v>0</v>
      </c>
      <c r="S17" s="179">
        <f>'OI Analysis'!B73</f>
        <v>0</v>
      </c>
      <c r="T17" s="179">
        <f>'OI Analysis'!C73</f>
        <v>0</v>
      </c>
      <c r="U17" s="180">
        <f>'OI Analysis'!D73</f>
        <v>0</v>
      </c>
      <c r="V17" s="162" t="str">
        <f t="shared" si="0"/>
        <v>No Data</v>
      </c>
      <c r="W17" s="226" t="str">
        <f t="shared" si="1"/>
        <v/>
      </c>
      <c r="X17" s="218"/>
      <c r="Y17" s="224">
        <f t="shared" si="2"/>
        <v>0</v>
      </c>
    </row>
    <row r="18" spans="1:27" ht="16.2" customHeight="1" thickBot="1" x14ac:dyDescent="0.35">
      <c r="A18" s="56"/>
      <c r="B18" s="381">
        <v>18300</v>
      </c>
      <c r="C18" s="392"/>
      <c r="D18" s="316"/>
      <c r="E18" s="317"/>
      <c r="F18" s="307"/>
      <c r="G18" s="308"/>
      <c r="H18" s="56"/>
      <c r="I18" s="185"/>
      <c r="J18" s="186"/>
      <c r="K18" s="301"/>
      <c r="L18" s="302"/>
      <c r="M18" s="56"/>
      <c r="N18" s="56"/>
      <c r="O18" s="56"/>
      <c r="P18" s="56"/>
      <c r="Q18" s="56"/>
      <c r="R18" s="93">
        <f>'OI Analysis'!A72</f>
        <v>0</v>
      </c>
      <c r="S18" s="179">
        <f>'OI Analysis'!B72</f>
        <v>0</v>
      </c>
      <c r="T18" s="179">
        <f>'OI Analysis'!C72</f>
        <v>0</v>
      </c>
      <c r="U18" s="180">
        <f>'OI Analysis'!D72</f>
        <v>0</v>
      </c>
      <c r="V18" s="162" t="str">
        <f t="shared" si="0"/>
        <v>No Data</v>
      </c>
      <c r="W18" s="226" t="str">
        <f t="shared" si="1"/>
        <v/>
      </c>
      <c r="X18" s="218"/>
      <c r="Y18" s="224">
        <f t="shared" si="2"/>
        <v>0</v>
      </c>
    </row>
    <row r="19" spans="1:27" ht="15" customHeight="1" thickBot="1" x14ac:dyDescent="0.35">
      <c r="A19" s="56"/>
      <c r="B19" s="382"/>
      <c r="C19" s="191">
        <f>B18</f>
        <v>18300</v>
      </c>
      <c r="D19" s="393">
        <f>INDEX(OptionAnalysis!$C$6:$C$26,MATCH(Dashboard!$C$19,OptionAnalysis!$H$6:$H$26,0))</f>
        <v>108256</v>
      </c>
      <c r="E19" s="394"/>
      <c r="F19" s="385">
        <f>INDEX(OptionAnalysis!$M$6:$M$26,MATCH(Dashboard!$C$19,OptionAnalysis!$H$6:$H$26,0))</f>
        <v>46861</v>
      </c>
      <c r="G19" s="386"/>
      <c r="H19" s="56"/>
      <c r="I19" s="187" t="s">
        <v>105</v>
      </c>
      <c r="J19" s="188"/>
      <c r="K19" s="301"/>
      <c r="L19" s="302"/>
      <c r="M19" s="56"/>
      <c r="N19" s="56"/>
      <c r="O19" s="56"/>
      <c r="P19" s="56"/>
      <c r="Q19" s="56"/>
      <c r="R19" s="93">
        <f>'OI Analysis'!A71</f>
        <v>0</v>
      </c>
      <c r="S19" s="179">
        <f>'OI Analysis'!B71</f>
        <v>0</v>
      </c>
      <c r="T19" s="179">
        <f>'OI Analysis'!C71</f>
        <v>0</v>
      </c>
      <c r="U19" s="180">
        <f>'OI Analysis'!D71</f>
        <v>0</v>
      </c>
      <c r="V19" s="162" t="str">
        <f t="shared" si="0"/>
        <v>No Data</v>
      </c>
      <c r="W19" s="226" t="str">
        <f t="shared" si="1"/>
        <v/>
      </c>
      <c r="X19" s="218"/>
      <c r="Y19" s="224">
        <f t="shared" si="2"/>
        <v>0</v>
      </c>
    </row>
    <row r="20" spans="1:27" ht="14.4" customHeight="1" x14ac:dyDescent="0.3">
      <c r="A20" s="56"/>
      <c r="B20" s="166"/>
      <c r="C20" s="192">
        <f>C19+50</f>
        <v>18350</v>
      </c>
      <c r="D20" s="395">
        <f>INDEX(OptionAnalysis!$C$6:$C$26,MATCH(Dashboard!$C$20,OptionAnalysis!$H$6:$H$26,0))</f>
        <v>28681</v>
      </c>
      <c r="E20" s="396"/>
      <c r="F20" s="387">
        <f>INDEX(OptionAnalysis!$M$6:$M$26,MATCH(Dashboard!$C$20,OptionAnalysis!$H$6:$H$26,0))</f>
        <v>11054</v>
      </c>
      <c r="G20" s="388"/>
      <c r="H20" s="56"/>
      <c r="I20" s="187" t="s">
        <v>117</v>
      </c>
      <c r="J20" s="188"/>
      <c r="K20" s="301"/>
      <c r="L20" s="302"/>
      <c r="M20" s="56"/>
      <c r="N20" s="56"/>
      <c r="O20" s="56"/>
      <c r="P20" s="56"/>
      <c r="Q20" s="56"/>
      <c r="R20" s="93">
        <f>'OI Analysis'!A70</f>
        <v>0</v>
      </c>
      <c r="S20" s="179">
        <f>'OI Analysis'!B70</f>
        <v>0</v>
      </c>
      <c r="T20" s="179">
        <f>'OI Analysis'!C70</f>
        <v>0</v>
      </c>
      <c r="U20" s="180">
        <f>'OI Analysis'!D70</f>
        <v>0</v>
      </c>
      <c r="V20" s="162" t="str">
        <f t="shared" si="0"/>
        <v>No Data</v>
      </c>
      <c r="W20" s="226" t="str">
        <f t="shared" si="1"/>
        <v/>
      </c>
      <c r="X20" s="218"/>
      <c r="Y20" s="224">
        <f t="shared" si="2"/>
        <v>0</v>
      </c>
    </row>
    <row r="21" spans="1:27" ht="15" customHeight="1" thickBot="1" x14ac:dyDescent="0.35">
      <c r="A21" s="56"/>
      <c r="B21" s="167"/>
      <c r="C21" s="193">
        <f>C20+50</f>
        <v>18400</v>
      </c>
      <c r="D21" s="383">
        <f>INDEX(OptionAnalysis!$C$6:$C$26,MATCH(Dashboard!$C$21,OptionAnalysis!$H$6:$H$26,0))</f>
        <v>25452</v>
      </c>
      <c r="E21" s="384"/>
      <c r="F21" s="389">
        <f>INDEX(OptionAnalysis!$M$6:$M$26,MATCH(Dashboard!$C$21,OptionAnalysis!$H$6:$H$26,0))</f>
        <v>13935</v>
      </c>
      <c r="G21" s="390"/>
      <c r="H21" s="56"/>
      <c r="I21" s="185"/>
      <c r="J21" s="186"/>
      <c r="K21" s="301"/>
      <c r="L21" s="302"/>
      <c r="M21" s="56"/>
      <c r="N21" s="56"/>
      <c r="O21" s="56"/>
      <c r="P21" s="56"/>
      <c r="Q21" s="56"/>
      <c r="R21" s="94">
        <f>'OI Analysis'!A69</f>
        <v>0</v>
      </c>
      <c r="S21" s="181">
        <f>'OI Analysis'!B69</f>
        <v>0</v>
      </c>
      <c r="T21" s="181">
        <f>'OI Analysis'!C69</f>
        <v>0</v>
      </c>
      <c r="U21" s="182">
        <f>'OI Analysis'!D69</f>
        <v>0</v>
      </c>
      <c r="V21" s="162" t="str">
        <f t="shared" si="0"/>
        <v>No Data</v>
      </c>
      <c r="W21" s="226" t="str">
        <f t="shared" si="1"/>
        <v/>
      </c>
      <c r="X21" s="218"/>
      <c r="Y21" s="224">
        <f t="shared" si="2"/>
        <v>0</v>
      </c>
    </row>
    <row r="22" spans="1:27" ht="20.399999999999999" thickBot="1" x14ac:dyDescent="0.45">
      <c r="A22" s="56"/>
      <c r="B22" s="376" t="s">
        <v>27</v>
      </c>
      <c r="C22" s="377"/>
      <c r="D22" s="378">
        <f>SUM(D19:E21)*75</f>
        <v>12179175</v>
      </c>
      <c r="E22" s="378"/>
      <c r="F22" s="379">
        <f>SUM(F19:G21)*75</f>
        <v>5388750</v>
      </c>
      <c r="G22" s="380"/>
      <c r="H22" s="56"/>
      <c r="I22" s="189"/>
      <c r="J22" s="190"/>
      <c r="K22" s="303"/>
      <c r="L22" s="304"/>
      <c r="M22" s="56"/>
      <c r="N22" s="56"/>
      <c r="O22" s="56"/>
      <c r="P22" s="56"/>
      <c r="Q22" s="56"/>
      <c r="W22" s="15"/>
      <c r="X22" s="15"/>
    </row>
    <row r="23" spans="1:27" ht="15" thickBot="1" x14ac:dyDescent="0.35">
      <c r="A23" s="56"/>
      <c r="B23" s="56"/>
      <c r="C23" s="56"/>
      <c r="D23" s="56"/>
      <c r="E23" s="56"/>
      <c r="F23" s="56"/>
      <c r="G23" s="56"/>
      <c r="H23" s="56"/>
      <c r="I23" s="56"/>
      <c r="J23" s="56"/>
      <c r="K23" s="56"/>
      <c r="L23" s="56"/>
      <c r="M23" s="56"/>
      <c r="N23" s="56"/>
      <c r="O23" s="56"/>
      <c r="P23" s="56"/>
    </row>
    <row r="24" spans="1:27" ht="16.2" customHeight="1" thickBot="1" x14ac:dyDescent="0.35">
      <c r="A24" s="220"/>
      <c r="B24" s="310" t="s">
        <v>45</v>
      </c>
      <c r="C24" s="397" t="s">
        <v>101</v>
      </c>
      <c r="D24" s="398"/>
      <c r="E24" s="399"/>
      <c r="F24" s="400" t="s">
        <v>102</v>
      </c>
      <c r="G24" s="401"/>
      <c r="H24" s="401"/>
      <c r="I24" s="314" t="s">
        <v>104</v>
      </c>
      <c r="J24" s="315"/>
      <c r="K24" s="305" t="s">
        <v>103</v>
      </c>
      <c r="L24" s="306"/>
      <c r="M24" s="56"/>
      <c r="N24" s="56"/>
      <c r="O24" s="56"/>
      <c r="P24" s="56"/>
    </row>
    <row r="25" spans="1:27" ht="15" customHeight="1" thickBot="1" x14ac:dyDescent="0.35">
      <c r="A25" s="220"/>
      <c r="B25" s="311"/>
      <c r="C25" s="194">
        <f>C19</f>
        <v>18300</v>
      </c>
      <c r="D25" s="195">
        <f>C20</f>
        <v>18350</v>
      </c>
      <c r="E25" s="195">
        <f>C21</f>
        <v>18400</v>
      </c>
      <c r="F25" s="196">
        <f>C19</f>
        <v>18300</v>
      </c>
      <c r="G25" s="196">
        <f>C20</f>
        <v>18350</v>
      </c>
      <c r="H25" s="197">
        <f>C21</f>
        <v>18400</v>
      </c>
      <c r="I25" s="316"/>
      <c r="J25" s="317"/>
      <c r="K25" s="307"/>
      <c r="L25" s="308"/>
      <c r="M25" s="56"/>
      <c r="N25" s="56"/>
      <c r="O25" s="56"/>
      <c r="P25" s="56"/>
      <c r="R25" s="284" t="s">
        <v>110</v>
      </c>
      <c r="S25" s="285"/>
      <c r="T25" s="285"/>
      <c r="U25" s="285"/>
      <c r="V25" s="285"/>
      <c r="W25" s="285"/>
      <c r="X25" s="286"/>
    </row>
    <row r="26" spans="1:27" ht="15" customHeight="1" thickBot="1" x14ac:dyDescent="0.4">
      <c r="A26" s="221">
        <f>86-ROW($A1)</f>
        <v>85</v>
      </c>
      <c r="B26" s="200">
        <f>VLOOKUP($A26,'Autochange OI'!$E$4:$L$88,2,0)</f>
        <v>0</v>
      </c>
      <c r="C26" s="198">
        <f>VLOOKUP($A26,'Autochange OI'!$E$4:$L$88,3,0)</f>
        <v>0</v>
      </c>
      <c r="D26" s="198">
        <f>VLOOKUP($A26,'Autochange OI'!$E$4:$L$88,4,0)</f>
        <v>0</v>
      </c>
      <c r="E26" s="198">
        <f>VLOOKUP($A26,'Autochange OI'!$E$4:$L$88,5,0)</f>
        <v>0</v>
      </c>
      <c r="F26" s="199">
        <f>VLOOKUP($A26,'Autochange OI'!$E$4:$L$88,6,0)</f>
        <v>0</v>
      </c>
      <c r="G26" s="199">
        <f>VLOOKUP($A26,'Autochange OI'!$E$4:$L$88,7,0)</f>
        <v>0</v>
      </c>
      <c r="H26" s="199">
        <f>VLOOKUP($A26,'Autochange OI'!$E$4:$L$88,8,0)</f>
        <v>0</v>
      </c>
      <c r="I26" s="402">
        <f>SUM(C26:E26)*75</f>
        <v>0</v>
      </c>
      <c r="J26" s="403"/>
      <c r="K26" s="312">
        <f>SUM(F26:H26)*75</f>
        <v>0</v>
      </c>
      <c r="L26" s="313"/>
      <c r="M26" s="219"/>
      <c r="N26" s="205"/>
      <c r="O26" s="56"/>
      <c r="P26" s="56"/>
      <c r="R26" s="287"/>
      <c r="S26" s="288"/>
      <c r="T26" s="288"/>
      <c r="U26" s="288"/>
      <c r="V26" s="288"/>
      <c r="W26" s="288"/>
      <c r="X26" s="289"/>
    </row>
    <row r="27" spans="1:27" ht="15" customHeight="1" thickBot="1" x14ac:dyDescent="0.4">
      <c r="A27" s="221">
        <f t="shared" ref="A27:A90" si="3">86-ROW($A2)</f>
        <v>84</v>
      </c>
      <c r="B27" s="200">
        <f>VLOOKUP($A27,'Autochange OI'!$E$4:$L$88,2,0)</f>
        <v>0</v>
      </c>
      <c r="C27" s="198">
        <f>VLOOKUP($A27,'Autochange OI'!$E$4:$L$88,3,0)</f>
        <v>0</v>
      </c>
      <c r="D27" s="198">
        <f>VLOOKUP($A27,'Autochange OI'!$E$4:$L$88,4,0)</f>
        <v>0</v>
      </c>
      <c r="E27" s="198">
        <f>VLOOKUP($A27,'Autochange OI'!$E$4:$L$88,5,0)</f>
        <v>0</v>
      </c>
      <c r="F27" s="199">
        <f>VLOOKUP($A27,'Autochange OI'!$E$4:$L$88,6,0)</f>
        <v>0</v>
      </c>
      <c r="G27" s="199">
        <f>VLOOKUP($A27,'Autochange OI'!$E$4:$L$88,7,0)</f>
        <v>0</v>
      </c>
      <c r="H27" s="199">
        <f>VLOOKUP($A27,'Autochange OI'!$E$4:$L$88,8,0)</f>
        <v>0</v>
      </c>
      <c r="I27" s="295">
        <f>SUM(C27:E27)*75</f>
        <v>0</v>
      </c>
      <c r="J27" s="296"/>
      <c r="K27" s="293">
        <f t="shared" ref="K27:K44" si="4">SUM(F27:H27)*75</f>
        <v>0</v>
      </c>
      <c r="L27" s="294"/>
      <c r="M27" s="56"/>
      <c r="N27" s="56"/>
      <c r="O27" s="56"/>
      <c r="P27" s="56"/>
      <c r="R27" s="290"/>
      <c r="S27" s="291"/>
      <c r="T27" s="291"/>
      <c r="U27" s="291"/>
      <c r="V27" s="291"/>
      <c r="W27" s="291"/>
      <c r="X27" s="292"/>
      <c r="AA27" s="213"/>
    </row>
    <row r="28" spans="1:27" ht="15" customHeight="1" thickBot="1" x14ac:dyDescent="0.4">
      <c r="A28" s="221">
        <f t="shared" si="3"/>
        <v>83</v>
      </c>
      <c r="B28" s="200">
        <f>VLOOKUP($A28,'Autochange OI'!$E$4:$L$88,2,0)</f>
        <v>0</v>
      </c>
      <c r="C28" s="198">
        <f>VLOOKUP($A28,'Autochange OI'!$E$4:$L$88,3,0)</f>
        <v>0</v>
      </c>
      <c r="D28" s="198">
        <f>VLOOKUP($A28,'Autochange OI'!$E$4:$L$88,4,0)</f>
        <v>0</v>
      </c>
      <c r="E28" s="198">
        <f>VLOOKUP($A28,'Autochange OI'!$E$4:$L$88,5,0)</f>
        <v>0</v>
      </c>
      <c r="F28" s="199">
        <f>VLOOKUP($A28,'Autochange OI'!$E$4:$L$88,6,0)</f>
        <v>0</v>
      </c>
      <c r="G28" s="199">
        <f>VLOOKUP($A28,'Autochange OI'!$E$4:$L$88,7,0)</f>
        <v>0</v>
      </c>
      <c r="H28" s="199">
        <f>VLOOKUP($A28,'Autochange OI'!$E$4:$L$88,8,0)</f>
        <v>0</v>
      </c>
      <c r="I28" s="295">
        <f t="shared" ref="I28:I44" si="5">SUM(C28:E28)*75</f>
        <v>0</v>
      </c>
      <c r="J28" s="296"/>
      <c r="K28" s="293">
        <f t="shared" si="4"/>
        <v>0</v>
      </c>
      <c r="L28" s="294"/>
      <c r="M28" s="56"/>
      <c r="N28" s="56"/>
      <c r="O28" s="56"/>
      <c r="P28" s="56"/>
      <c r="S28"/>
      <c r="T28"/>
      <c r="U28"/>
      <c r="AA28" s="213"/>
    </row>
    <row r="29" spans="1:27" ht="15" customHeight="1" thickBot="1" x14ac:dyDescent="0.4">
      <c r="A29" s="221">
        <f t="shared" si="3"/>
        <v>82</v>
      </c>
      <c r="B29" s="200">
        <f>VLOOKUP($A29,'Autochange OI'!$E$4:$L$88,2,0)</f>
        <v>0</v>
      </c>
      <c r="C29" s="198">
        <f>VLOOKUP($A29,'Autochange OI'!$E$4:$L$88,3,0)</f>
        <v>0</v>
      </c>
      <c r="D29" s="198">
        <f>VLOOKUP($A29,'Autochange OI'!$E$4:$L$88,4,0)</f>
        <v>0</v>
      </c>
      <c r="E29" s="198">
        <f>VLOOKUP($A29,'Autochange OI'!$E$4:$L$88,5,0)</f>
        <v>0</v>
      </c>
      <c r="F29" s="199">
        <f>VLOOKUP($A29,'Autochange OI'!$E$4:$L$88,6,0)</f>
        <v>0</v>
      </c>
      <c r="G29" s="199">
        <f>VLOOKUP($A29,'Autochange OI'!$E$4:$L$88,7,0)</f>
        <v>0</v>
      </c>
      <c r="H29" s="199">
        <f>VLOOKUP($A29,'Autochange OI'!$E$4:$L$88,8,0)</f>
        <v>0</v>
      </c>
      <c r="I29" s="295">
        <f t="shared" si="5"/>
        <v>0</v>
      </c>
      <c r="J29" s="296"/>
      <c r="K29" s="293">
        <f t="shared" si="4"/>
        <v>0</v>
      </c>
      <c r="L29" s="294"/>
      <c r="M29" s="56"/>
      <c r="N29" s="56"/>
      <c r="O29" s="56"/>
      <c r="P29" s="56"/>
      <c r="S29"/>
      <c r="T29"/>
      <c r="U29"/>
      <c r="AA29" s="213"/>
    </row>
    <row r="30" spans="1:27" ht="15" customHeight="1" thickBot="1" x14ac:dyDescent="0.4">
      <c r="A30" s="221">
        <f t="shared" si="3"/>
        <v>81</v>
      </c>
      <c r="B30" s="200">
        <f>VLOOKUP($A30,'Autochange OI'!$E$4:$L$88,2,0)</f>
        <v>0</v>
      </c>
      <c r="C30" s="198">
        <f>VLOOKUP($A30,'Autochange OI'!$E$4:$L$88,3,0)</f>
        <v>0</v>
      </c>
      <c r="D30" s="198">
        <f>VLOOKUP($A30,'Autochange OI'!$E$4:$L$88,4,0)</f>
        <v>0</v>
      </c>
      <c r="E30" s="198">
        <f>VLOOKUP($A30,'Autochange OI'!$E$4:$L$88,5,0)</f>
        <v>0</v>
      </c>
      <c r="F30" s="199">
        <f>VLOOKUP($A30,'Autochange OI'!$E$4:$L$88,6,0)</f>
        <v>0</v>
      </c>
      <c r="G30" s="199">
        <f>VLOOKUP($A30,'Autochange OI'!$E$4:$L$88,7,0)</f>
        <v>0</v>
      </c>
      <c r="H30" s="199">
        <f>VLOOKUP($A30,'Autochange OI'!$E$4:$L$88,8,0)</f>
        <v>0</v>
      </c>
      <c r="I30" s="295">
        <f t="shared" si="5"/>
        <v>0</v>
      </c>
      <c r="J30" s="296"/>
      <c r="K30" s="293">
        <f t="shared" si="4"/>
        <v>0</v>
      </c>
      <c r="L30" s="294"/>
      <c r="M30" s="56"/>
      <c r="N30" s="56"/>
      <c r="O30" s="56"/>
      <c r="P30" s="56"/>
      <c r="S30"/>
      <c r="T30"/>
      <c r="U30"/>
      <c r="AA30" s="213"/>
    </row>
    <row r="31" spans="1:27" ht="15" customHeight="1" thickBot="1" x14ac:dyDescent="0.4">
      <c r="A31" s="221">
        <f t="shared" si="3"/>
        <v>80</v>
      </c>
      <c r="B31" s="200">
        <f>VLOOKUP($A31,'Autochange OI'!$E$4:$L$88,2,0)</f>
        <v>0</v>
      </c>
      <c r="C31" s="198">
        <f>VLOOKUP($A31,'Autochange OI'!$E$4:$L$88,3,0)</f>
        <v>0</v>
      </c>
      <c r="D31" s="198">
        <f>VLOOKUP($A31,'Autochange OI'!$E$4:$L$88,4,0)</f>
        <v>0</v>
      </c>
      <c r="E31" s="198">
        <f>VLOOKUP($A31,'Autochange OI'!$E$4:$L$88,5,0)</f>
        <v>0</v>
      </c>
      <c r="F31" s="199">
        <f>VLOOKUP($A31,'Autochange OI'!$E$4:$L$88,6,0)</f>
        <v>0</v>
      </c>
      <c r="G31" s="199">
        <f>VLOOKUP($A31,'Autochange OI'!$E$4:$L$88,7,0)</f>
        <v>0</v>
      </c>
      <c r="H31" s="199">
        <f>VLOOKUP($A31,'Autochange OI'!$E$4:$L$88,8,0)</f>
        <v>0</v>
      </c>
      <c r="I31" s="295">
        <f t="shared" si="5"/>
        <v>0</v>
      </c>
      <c r="J31" s="296"/>
      <c r="K31" s="293">
        <f t="shared" si="4"/>
        <v>0</v>
      </c>
      <c r="L31" s="294"/>
      <c r="M31" s="56"/>
      <c r="N31" s="56"/>
      <c r="O31" s="56"/>
      <c r="P31" s="56"/>
      <c r="S31"/>
      <c r="T31"/>
      <c r="U31"/>
      <c r="AA31" s="213"/>
    </row>
    <row r="32" spans="1:27" ht="15" customHeight="1" thickBot="1" x14ac:dyDescent="0.4">
      <c r="A32" s="221">
        <f t="shared" si="3"/>
        <v>79</v>
      </c>
      <c r="B32" s="200">
        <f>VLOOKUP($A32,'Autochange OI'!$E$4:$L$88,2,0)</f>
        <v>0</v>
      </c>
      <c r="C32" s="198">
        <f>VLOOKUP($A32,'Autochange OI'!$E$4:$L$88,3,0)</f>
        <v>0</v>
      </c>
      <c r="D32" s="198">
        <f>VLOOKUP($A32,'Autochange OI'!$E$4:$L$88,4,0)</f>
        <v>0</v>
      </c>
      <c r="E32" s="198">
        <f>VLOOKUP($A32,'Autochange OI'!$E$4:$L$88,5,0)</f>
        <v>0</v>
      </c>
      <c r="F32" s="199">
        <f>VLOOKUP($A32,'Autochange OI'!$E$4:$L$88,6,0)</f>
        <v>0</v>
      </c>
      <c r="G32" s="199">
        <f>VLOOKUP($A32,'Autochange OI'!$E$4:$L$88,7,0)</f>
        <v>0</v>
      </c>
      <c r="H32" s="199">
        <f>VLOOKUP($A32,'Autochange OI'!$E$4:$L$88,8,0)</f>
        <v>0</v>
      </c>
      <c r="I32" s="295">
        <f t="shared" si="5"/>
        <v>0</v>
      </c>
      <c r="J32" s="296"/>
      <c r="K32" s="293">
        <f t="shared" si="4"/>
        <v>0</v>
      </c>
      <c r="L32" s="294"/>
      <c r="M32" s="56"/>
      <c r="N32" s="56"/>
      <c r="O32" s="56"/>
      <c r="P32" s="56"/>
      <c r="S32"/>
      <c r="T32"/>
      <c r="U32"/>
      <c r="AA32" s="213"/>
    </row>
    <row r="33" spans="1:27" ht="15" customHeight="1" thickBot="1" x14ac:dyDescent="0.4">
      <c r="A33" s="221">
        <f t="shared" si="3"/>
        <v>78</v>
      </c>
      <c r="B33" s="200">
        <f>VLOOKUP($A33,'Autochange OI'!$E$4:$L$88,2,0)</f>
        <v>0</v>
      </c>
      <c r="C33" s="198">
        <f>VLOOKUP($A33,'Autochange OI'!$E$4:$L$88,3,0)</f>
        <v>0</v>
      </c>
      <c r="D33" s="198">
        <f>VLOOKUP($A33,'Autochange OI'!$E$4:$L$88,4,0)</f>
        <v>0</v>
      </c>
      <c r="E33" s="198">
        <f>VLOOKUP($A33,'Autochange OI'!$E$4:$L$88,5,0)</f>
        <v>0</v>
      </c>
      <c r="F33" s="199">
        <f>VLOOKUP($A33,'Autochange OI'!$E$4:$L$88,6,0)</f>
        <v>0</v>
      </c>
      <c r="G33" s="199">
        <f>VLOOKUP($A33,'Autochange OI'!$E$4:$L$88,7,0)</f>
        <v>0</v>
      </c>
      <c r="H33" s="199">
        <f>VLOOKUP($A33,'Autochange OI'!$E$4:$L$88,8,0)</f>
        <v>0</v>
      </c>
      <c r="I33" s="295">
        <f t="shared" si="5"/>
        <v>0</v>
      </c>
      <c r="J33" s="296"/>
      <c r="K33" s="293">
        <f t="shared" si="4"/>
        <v>0</v>
      </c>
      <c r="L33" s="294"/>
      <c r="M33" s="56"/>
      <c r="N33" s="56"/>
      <c r="O33" s="56"/>
      <c r="P33" s="56"/>
      <c r="S33"/>
      <c r="T33"/>
      <c r="U33"/>
      <c r="AA33" s="213"/>
    </row>
    <row r="34" spans="1:27" ht="15" customHeight="1" thickBot="1" x14ac:dyDescent="0.4">
      <c r="A34" s="221">
        <f t="shared" si="3"/>
        <v>77</v>
      </c>
      <c r="B34" s="200">
        <f>VLOOKUP($A34,'Autochange OI'!$E$4:$L$88,2,0)</f>
        <v>0</v>
      </c>
      <c r="C34" s="198">
        <f>VLOOKUP($A34,'Autochange OI'!$E$4:$L$88,3,0)</f>
        <v>0</v>
      </c>
      <c r="D34" s="198">
        <f>VLOOKUP($A34,'Autochange OI'!$E$4:$L$88,4,0)</f>
        <v>0</v>
      </c>
      <c r="E34" s="198">
        <f>VLOOKUP($A34,'Autochange OI'!$E$4:$L$88,5,0)</f>
        <v>0</v>
      </c>
      <c r="F34" s="199">
        <f>VLOOKUP($A34,'Autochange OI'!$E$4:$L$88,6,0)</f>
        <v>0</v>
      </c>
      <c r="G34" s="199">
        <f>VLOOKUP($A34,'Autochange OI'!$E$4:$L$88,7,0)</f>
        <v>0</v>
      </c>
      <c r="H34" s="199">
        <f>VLOOKUP($A34,'Autochange OI'!$E$4:$L$88,8,0)</f>
        <v>0</v>
      </c>
      <c r="I34" s="295">
        <f t="shared" si="5"/>
        <v>0</v>
      </c>
      <c r="J34" s="296"/>
      <c r="K34" s="293">
        <f t="shared" si="4"/>
        <v>0</v>
      </c>
      <c r="L34" s="294"/>
      <c r="M34" s="56"/>
      <c r="N34" s="56"/>
      <c r="O34" s="56"/>
      <c r="P34" s="56"/>
      <c r="T34"/>
      <c r="AA34" s="213"/>
    </row>
    <row r="35" spans="1:27" ht="15" customHeight="1" thickBot="1" x14ac:dyDescent="0.4">
      <c r="A35" s="221">
        <f t="shared" si="3"/>
        <v>76</v>
      </c>
      <c r="B35" s="200">
        <f>VLOOKUP($A35,'Autochange OI'!$E$4:$L$88,2,0)</f>
        <v>0</v>
      </c>
      <c r="C35" s="198">
        <f>VLOOKUP($A35,'Autochange OI'!$E$4:$L$88,3,0)</f>
        <v>0</v>
      </c>
      <c r="D35" s="198">
        <f>VLOOKUP($A35,'Autochange OI'!$E$4:$L$88,4,0)</f>
        <v>0</v>
      </c>
      <c r="E35" s="198">
        <f>VLOOKUP($A35,'Autochange OI'!$E$4:$L$88,5,0)</f>
        <v>0</v>
      </c>
      <c r="F35" s="199">
        <f>VLOOKUP($A35,'Autochange OI'!$E$4:$L$88,6,0)</f>
        <v>0</v>
      </c>
      <c r="G35" s="199">
        <f>VLOOKUP($A35,'Autochange OI'!$E$4:$L$88,7,0)</f>
        <v>0</v>
      </c>
      <c r="H35" s="199">
        <f>VLOOKUP($A35,'Autochange OI'!$E$4:$L$88,8,0)</f>
        <v>0</v>
      </c>
      <c r="I35" s="295">
        <f t="shared" si="5"/>
        <v>0</v>
      </c>
      <c r="J35" s="296"/>
      <c r="K35" s="293">
        <f t="shared" si="4"/>
        <v>0</v>
      </c>
      <c r="L35" s="294"/>
      <c r="M35" s="56"/>
      <c r="N35" s="56"/>
      <c r="O35" s="56"/>
      <c r="P35" s="56"/>
      <c r="S35" s="10">
        <v>17600</v>
      </c>
      <c r="T35"/>
      <c r="AA35" s="213"/>
    </row>
    <row r="36" spans="1:27" ht="15" customHeight="1" thickBot="1" x14ac:dyDescent="0.4">
      <c r="A36" s="221">
        <f t="shared" si="3"/>
        <v>75</v>
      </c>
      <c r="B36" s="200">
        <f>VLOOKUP($A36,'Autochange OI'!$E$4:$L$88,2,0)</f>
        <v>0</v>
      </c>
      <c r="C36" s="198">
        <f>VLOOKUP($A36,'Autochange OI'!$E$4:$L$88,3,0)</f>
        <v>0</v>
      </c>
      <c r="D36" s="198">
        <f>VLOOKUP($A36,'Autochange OI'!$E$4:$L$88,4,0)</f>
        <v>0</v>
      </c>
      <c r="E36" s="198">
        <f>VLOOKUP($A36,'Autochange OI'!$E$4:$L$88,5,0)</f>
        <v>0</v>
      </c>
      <c r="F36" s="199">
        <f>VLOOKUP($A36,'Autochange OI'!$E$4:$L$88,6,0)</f>
        <v>0</v>
      </c>
      <c r="G36" s="199">
        <f>VLOOKUP($A36,'Autochange OI'!$E$4:$L$88,7,0)</f>
        <v>0</v>
      </c>
      <c r="H36" s="199">
        <f>VLOOKUP($A36,'Autochange OI'!$E$4:$L$88,8,0)</f>
        <v>0</v>
      </c>
      <c r="I36" s="295">
        <f t="shared" si="5"/>
        <v>0</v>
      </c>
      <c r="J36" s="296"/>
      <c r="K36" s="293">
        <f t="shared" si="4"/>
        <v>0</v>
      </c>
      <c r="L36" s="294"/>
      <c r="M36" s="56"/>
      <c r="N36" s="56"/>
      <c r="O36" s="56"/>
      <c r="P36" s="56"/>
      <c r="S36" s="10">
        <v>17650</v>
      </c>
      <c r="AA36" s="213"/>
    </row>
    <row r="37" spans="1:27" ht="15" customHeight="1" thickBot="1" x14ac:dyDescent="0.4">
      <c r="A37" s="221">
        <f t="shared" si="3"/>
        <v>74</v>
      </c>
      <c r="B37" s="200">
        <f>VLOOKUP($A37,'Autochange OI'!$E$4:$L$88,2,0)</f>
        <v>0</v>
      </c>
      <c r="C37" s="198">
        <f>VLOOKUP($A37,'Autochange OI'!$E$4:$L$88,3,0)</f>
        <v>0</v>
      </c>
      <c r="D37" s="198">
        <f>VLOOKUP($A37,'Autochange OI'!$E$4:$L$88,4,0)</f>
        <v>0</v>
      </c>
      <c r="E37" s="198">
        <f>VLOOKUP($A37,'Autochange OI'!$E$4:$L$88,5,0)</f>
        <v>0</v>
      </c>
      <c r="F37" s="199">
        <f>VLOOKUP($A37,'Autochange OI'!$E$4:$L$88,6,0)</f>
        <v>0</v>
      </c>
      <c r="G37" s="199">
        <f>VLOOKUP($A37,'Autochange OI'!$E$4:$L$88,7,0)</f>
        <v>0</v>
      </c>
      <c r="H37" s="199">
        <f>VLOOKUP($A37,'Autochange OI'!$E$4:$L$88,8,0)</f>
        <v>0</v>
      </c>
      <c r="I37" s="295">
        <f t="shared" si="5"/>
        <v>0</v>
      </c>
      <c r="J37" s="296"/>
      <c r="K37" s="293">
        <f t="shared" si="4"/>
        <v>0</v>
      </c>
      <c r="L37" s="294"/>
      <c r="M37" s="56"/>
      <c r="N37" s="56"/>
      <c r="O37" s="56"/>
      <c r="P37" s="56"/>
      <c r="S37" s="10">
        <v>17700</v>
      </c>
      <c r="T37" s="183"/>
      <c r="AA37" s="213"/>
    </row>
    <row r="38" spans="1:27" ht="15" customHeight="1" thickBot="1" x14ac:dyDescent="0.4">
      <c r="A38" s="221">
        <f t="shared" si="3"/>
        <v>73</v>
      </c>
      <c r="B38" s="200">
        <f>VLOOKUP($A38,'Autochange OI'!$E$4:$L$88,2,0)</f>
        <v>0</v>
      </c>
      <c r="C38" s="198">
        <f>VLOOKUP($A38,'Autochange OI'!$E$4:$L$88,3,0)</f>
        <v>0</v>
      </c>
      <c r="D38" s="198">
        <f>VLOOKUP($A38,'Autochange OI'!$E$4:$L$88,4,0)</f>
        <v>0</v>
      </c>
      <c r="E38" s="198">
        <f>VLOOKUP($A38,'Autochange OI'!$E$4:$L$88,5,0)</f>
        <v>0</v>
      </c>
      <c r="F38" s="199">
        <f>VLOOKUP($A38,'Autochange OI'!$E$4:$L$88,6,0)</f>
        <v>0</v>
      </c>
      <c r="G38" s="199">
        <f>VLOOKUP($A38,'Autochange OI'!$E$4:$L$88,7,0)</f>
        <v>0</v>
      </c>
      <c r="H38" s="199">
        <f>VLOOKUP($A38,'Autochange OI'!$E$4:$L$88,8,0)</f>
        <v>0</v>
      </c>
      <c r="I38" s="295">
        <f t="shared" si="5"/>
        <v>0</v>
      </c>
      <c r="J38" s="296"/>
      <c r="K38" s="293">
        <f t="shared" si="4"/>
        <v>0</v>
      </c>
      <c r="L38" s="294"/>
      <c r="M38" s="56"/>
      <c r="N38" s="56"/>
      <c r="O38" s="56"/>
      <c r="P38" s="56"/>
      <c r="T38" s="15"/>
      <c r="AA38" s="213"/>
    </row>
    <row r="39" spans="1:27" ht="15" customHeight="1" thickBot="1" x14ac:dyDescent="0.4">
      <c r="A39" s="221">
        <f t="shared" si="3"/>
        <v>72</v>
      </c>
      <c r="B39" s="200">
        <f>VLOOKUP($A39,'Autochange OI'!$E$4:$L$88,2,0)</f>
        <v>0</v>
      </c>
      <c r="C39" s="198">
        <f>VLOOKUP($A39,'Autochange OI'!$E$4:$L$88,3,0)</f>
        <v>0</v>
      </c>
      <c r="D39" s="198">
        <f>VLOOKUP($A39,'Autochange OI'!$E$4:$L$88,4,0)</f>
        <v>0</v>
      </c>
      <c r="E39" s="198">
        <f>VLOOKUP($A39,'Autochange OI'!$E$4:$L$88,5,0)</f>
        <v>0</v>
      </c>
      <c r="F39" s="199">
        <f>VLOOKUP($A39,'Autochange OI'!$E$4:$L$88,6,0)</f>
        <v>0</v>
      </c>
      <c r="G39" s="199">
        <f>VLOOKUP($A39,'Autochange OI'!$E$4:$L$88,7,0)</f>
        <v>0</v>
      </c>
      <c r="H39" s="199">
        <f>VLOOKUP($A39,'Autochange OI'!$E$4:$L$88,8,0)</f>
        <v>0</v>
      </c>
      <c r="I39" s="295">
        <f t="shared" si="5"/>
        <v>0</v>
      </c>
      <c r="J39" s="296"/>
      <c r="K39" s="293">
        <f t="shared" si="4"/>
        <v>0</v>
      </c>
      <c r="L39" s="294"/>
      <c r="M39" s="56"/>
      <c r="N39" s="56"/>
      <c r="O39" s="56"/>
      <c r="P39" s="56"/>
      <c r="AA39" s="213"/>
    </row>
    <row r="40" spans="1:27" ht="15" customHeight="1" thickBot="1" x14ac:dyDescent="0.4">
      <c r="A40" s="221">
        <f t="shared" si="3"/>
        <v>71</v>
      </c>
      <c r="B40" s="200">
        <f>VLOOKUP($A40,'Autochange OI'!$E$4:$L$88,2,0)</f>
        <v>0</v>
      </c>
      <c r="C40" s="198">
        <f>VLOOKUP($A40,'Autochange OI'!$E$4:$L$88,3,0)</f>
        <v>0</v>
      </c>
      <c r="D40" s="198">
        <f>VLOOKUP($A40,'Autochange OI'!$E$4:$L$88,4,0)</f>
        <v>0</v>
      </c>
      <c r="E40" s="198">
        <f>VLOOKUP($A40,'Autochange OI'!$E$4:$L$88,5,0)</f>
        <v>0</v>
      </c>
      <c r="F40" s="199">
        <f>VLOOKUP($A40,'Autochange OI'!$E$4:$L$88,6,0)</f>
        <v>0</v>
      </c>
      <c r="G40" s="199">
        <f>VLOOKUP($A40,'Autochange OI'!$E$4:$L$88,7,0)</f>
        <v>0</v>
      </c>
      <c r="H40" s="199">
        <f>VLOOKUP($A40,'Autochange OI'!$E$4:$L$88,8,0)</f>
        <v>0</v>
      </c>
      <c r="I40" s="295">
        <f t="shared" si="5"/>
        <v>0</v>
      </c>
      <c r="J40" s="296"/>
      <c r="K40" s="293">
        <f t="shared" si="4"/>
        <v>0</v>
      </c>
      <c r="L40" s="294"/>
      <c r="M40" s="56"/>
      <c r="N40" s="56"/>
      <c r="O40" s="56"/>
      <c r="P40" s="56"/>
      <c r="S40" s="184"/>
      <c r="AA40" s="213"/>
    </row>
    <row r="41" spans="1:27" ht="15" customHeight="1" thickBot="1" x14ac:dyDescent="0.4">
      <c r="A41" s="221">
        <f t="shared" si="3"/>
        <v>70</v>
      </c>
      <c r="B41" s="200">
        <f>VLOOKUP($A41,'Autochange OI'!$E$4:$L$88,2,0)</f>
        <v>0</v>
      </c>
      <c r="C41" s="198">
        <f>VLOOKUP($A41,'Autochange OI'!$E$4:$L$88,3,0)</f>
        <v>0</v>
      </c>
      <c r="D41" s="198">
        <f>VLOOKUP($A41,'Autochange OI'!$E$4:$L$88,4,0)</f>
        <v>0</v>
      </c>
      <c r="E41" s="198">
        <f>VLOOKUP($A41,'Autochange OI'!$E$4:$L$88,5,0)</f>
        <v>0</v>
      </c>
      <c r="F41" s="199">
        <f>VLOOKUP($A41,'Autochange OI'!$E$4:$L$88,6,0)</f>
        <v>0</v>
      </c>
      <c r="G41" s="199">
        <f>VLOOKUP($A41,'Autochange OI'!$E$4:$L$88,7,0)</f>
        <v>0</v>
      </c>
      <c r="H41" s="199">
        <f>VLOOKUP($A41,'Autochange OI'!$E$4:$L$88,8,0)</f>
        <v>0</v>
      </c>
      <c r="I41" s="295">
        <f t="shared" si="5"/>
        <v>0</v>
      </c>
      <c r="J41" s="296"/>
      <c r="K41" s="293">
        <f t="shared" si="4"/>
        <v>0</v>
      </c>
      <c r="L41" s="294"/>
      <c r="M41" s="56"/>
      <c r="N41" s="56"/>
      <c r="O41" s="56"/>
      <c r="P41" s="56"/>
      <c r="AA41" s="213"/>
    </row>
    <row r="42" spans="1:27" ht="15" customHeight="1" thickBot="1" x14ac:dyDescent="0.4">
      <c r="A42" s="221">
        <f t="shared" si="3"/>
        <v>69</v>
      </c>
      <c r="B42" s="200">
        <f>VLOOKUP($A42,'Autochange OI'!$E$4:$L$88,2,0)</f>
        <v>0</v>
      </c>
      <c r="C42" s="198">
        <f>VLOOKUP($A42,'Autochange OI'!$E$4:$L$88,3,0)</f>
        <v>0</v>
      </c>
      <c r="D42" s="198">
        <f>VLOOKUP($A42,'Autochange OI'!$E$4:$L$88,4,0)</f>
        <v>0</v>
      </c>
      <c r="E42" s="198">
        <f>VLOOKUP($A42,'Autochange OI'!$E$4:$L$88,5,0)</f>
        <v>0</v>
      </c>
      <c r="F42" s="199">
        <f>VLOOKUP($A42,'Autochange OI'!$E$4:$L$88,6,0)</f>
        <v>0</v>
      </c>
      <c r="G42" s="199">
        <f>VLOOKUP($A42,'Autochange OI'!$E$4:$L$88,7,0)</f>
        <v>0</v>
      </c>
      <c r="H42" s="199">
        <f>VLOOKUP($A42,'Autochange OI'!$E$4:$L$88,8,0)</f>
        <v>0</v>
      </c>
      <c r="I42" s="295">
        <f t="shared" si="5"/>
        <v>0</v>
      </c>
      <c r="J42" s="296"/>
      <c r="K42" s="293">
        <f t="shared" si="4"/>
        <v>0</v>
      </c>
      <c r="L42" s="294"/>
      <c r="M42" s="56"/>
      <c r="N42" s="56"/>
      <c r="O42" s="56"/>
      <c r="P42" s="56"/>
      <c r="AA42" s="213"/>
    </row>
    <row r="43" spans="1:27" ht="15" customHeight="1" thickBot="1" x14ac:dyDescent="0.4">
      <c r="A43" s="221">
        <f t="shared" si="3"/>
        <v>68</v>
      </c>
      <c r="B43" s="200">
        <f>VLOOKUP($A43,'Autochange OI'!$E$4:$L$88,2,0)</f>
        <v>0</v>
      </c>
      <c r="C43" s="198">
        <f>VLOOKUP($A43,'Autochange OI'!$E$4:$L$88,3,0)</f>
        <v>0</v>
      </c>
      <c r="D43" s="198">
        <f>VLOOKUP($A43,'Autochange OI'!$E$4:$L$88,4,0)</f>
        <v>0</v>
      </c>
      <c r="E43" s="198">
        <f>VLOOKUP($A43,'Autochange OI'!$E$4:$L$88,5,0)</f>
        <v>0</v>
      </c>
      <c r="F43" s="199">
        <f>VLOOKUP($A43,'Autochange OI'!$E$4:$L$88,6,0)</f>
        <v>0</v>
      </c>
      <c r="G43" s="199">
        <f>VLOOKUP($A43,'Autochange OI'!$E$4:$L$88,7,0)</f>
        <v>0</v>
      </c>
      <c r="H43" s="199">
        <f>VLOOKUP($A43,'Autochange OI'!$E$4:$L$88,8,0)</f>
        <v>0</v>
      </c>
      <c r="I43" s="295">
        <f t="shared" si="5"/>
        <v>0</v>
      </c>
      <c r="J43" s="296"/>
      <c r="K43" s="293">
        <f t="shared" si="4"/>
        <v>0</v>
      </c>
      <c r="L43" s="294"/>
      <c r="M43" s="56"/>
      <c r="N43" s="56"/>
      <c r="O43" s="56"/>
      <c r="P43" s="56"/>
      <c r="AA43" s="213"/>
    </row>
    <row r="44" spans="1:27" ht="15" customHeight="1" thickBot="1" x14ac:dyDescent="0.4">
      <c r="A44" s="221">
        <f t="shared" si="3"/>
        <v>67</v>
      </c>
      <c r="B44" s="200">
        <f>VLOOKUP($A44,'Autochange OI'!$E$4:$L$88,2,0)</f>
        <v>0</v>
      </c>
      <c r="C44" s="198">
        <f>VLOOKUP($A44,'Autochange OI'!$E$4:$L$88,3,0)</f>
        <v>0</v>
      </c>
      <c r="D44" s="198">
        <f>VLOOKUP($A44,'Autochange OI'!$E$4:$L$88,4,0)</f>
        <v>0</v>
      </c>
      <c r="E44" s="198">
        <f>VLOOKUP($A44,'Autochange OI'!$E$4:$L$88,5,0)</f>
        <v>0</v>
      </c>
      <c r="F44" s="199">
        <f>VLOOKUP($A44,'Autochange OI'!$E$4:$L$88,6,0)</f>
        <v>0</v>
      </c>
      <c r="G44" s="199">
        <f>VLOOKUP($A44,'Autochange OI'!$E$4:$L$88,7,0)</f>
        <v>0</v>
      </c>
      <c r="H44" s="199">
        <f>VLOOKUP($A44,'Autochange OI'!$E$4:$L$88,8,0)</f>
        <v>0</v>
      </c>
      <c r="I44" s="295">
        <f t="shared" si="5"/>
        <v>0</v>
      </c>
      <c r="J44" s="296"/>
      <c r="K44" s="293">
        <f t="shared" si="4"/>
        <v>0</v>
      </c>
      <c r="L44" s="294"/>
      <c r="M44" s="56"/>
      <c r="N44" s="56"/>
      <c r="O44" s="56"/>
      <c r="P44" s="56"/>
      <c r="AA44" s="213"/>
    </row>
    <row r="45" spans="1:27" ht="15" customHeight="1" thickBot="1" x14ac:dyDescent="0.4">
      <c r="A45" s="221">
        <f t="shared" si="3"/>
        <v>66</v>
      </c>
      <c r="B45" s="200">
        <f>VLOOKUP($A45,'Autochange OI'!$E$4:$L$88,2,0)</f>
        <v>0</v>
      </c>
      <c r="C45" s="198">
        <f>VLOOKUP($A45,'Autochange OI'!$E$4:$L$88,3,0)</f>
        <v>0</v>
      </c>
      <c r="D45" s="198">
        <f>VLOOKUP($A45,'Autochange OI'!$E$4:$L$88,4,0)</f>
        <v>0</v>
      </c>
      <c r="E45" s="198">
        <f>VLOOKUP($A45,'Autochange OI'!$E$4:$L$88,5,0)</f>
        <v>0</v>
      </c>
      <c r="F45" s="199">
        <f>VLOOKUP($A45,'Autochange OI'!$E$4:$L$88,6,0)</f>
        <v>0</v>
      </c>
      <c r="G45" s="199">
        <f>VLOOKUP($A45,'Autochange OI'!$E$4:$L$88,7,0)</f>
        <v>0</v>
      </c>
      <c r="H45" s="199">
        <f>VLOOKUP($A45,'Autochange OI'!$E$4:$L$88,8,0)</f>
        <v>0</v>
      </c>
      <c r="I45" s="295">
        <f t="shared" ref="I45:I108" si="6">SUM(C45:E45)*75</f>
        <v>0</v>
      </c>
      <c r="J45" s="296"/>
      <c r="K45" s="293">
        <f t="shared" ref="K45:K108" si="7">SUM(F45:H45)*75</f>
        <v>0</v>
      </c>
      <c r="L45" s="294"/>
      <c r="M45" s="56"/>
      <c r="N45" s="56"/>
      <c r="O45" s="56"/>
      <c r="P45" s="56"/>
      <c r="AA45" s="213"/>
    </row>
    <row r="46" spans="1:27" ht="18" thickBot="1" x14ac:dyDescent="0.4">
      <c r="A46" s="221">
        <f t="shared" si="3"/>
        <v>65</v>
      </c>
      <c r="B46" s="200">
        <f>VLOOKUP($A46,'Autochange OI'!$E$4:$L$88,2,0)</f>
        <v>0</v>
      </c>
      <c r="C46" s="198">
        <f>VLOOKUP($A46,'Autochange OI'!$E$4:$L$88,3,0)</f>
        <v>0</v>
      </c>
      <c r="D46" s="198">
        <f>VLOOKUP($A46,'Autochange OI'!$E$4:$L$88,4,0)</f>
        <v>0</v>
      </c>
      <c r="E46" s="198">
        <f>VLOOKUP($A46,'Autochange OI'!$E$4:$L$88,5,0)</f>
        <v>0</v>
      </c>
      <c r="F46" s="199">
        <f>VLOOKUP($A46,'Autochange OI'!$E$4:$L$88,6,0)</f>
        <v>0</v>
      </c>
      <c r="G46" s="199">
        <f>VLOOKUP($A46,'Autochange OI'!$E$4:$L$88,7,0)</f>
        <v>0</v>
      </c>
      <c r="H46" s="199">
        <f>VLOOKUP($A46,'Autochange OI'!$E$4:$L$88,8,0)</f>
        <v>0</v>
      </c>
      <c r="I46" s="295">
        <f t="shared" si="6"/>
        <v>0</v>
      </c>
      <c r="J46" s="296"/>
      <c r="K46" s="293">
        <f t="shared" si="7"/>
        <v>0</v>
      </c>
      <c r="L46" s="294"/>
      <c r="AA46" s="213"/>
    </row>
    <row r="47" spans="1:27" ht="18" thickBot="1" x14ac:dyDescent="0.4">
      <c r="A47" s="221">
        <f t="shared" si="3"/>
        <v>64</v>
      </c>
      <c r="B47" s="200">
        <f>VLOOKUP($A47,'Autochange OI'!$E$4:$L$88,2,0)</f>
        <v>0</v>
      </c>
      <c r="C47" s="198">
        <f>VLOOKUP($A47,'Autochange OI'!$E$4:$L$88,3,0)</f>
        <v>0</v>
      </c>
      <c r="D47" s="198">
        <f>VLOOKUP($A47,'Autochange OI'!$E$4:$L$88,4,0)</f>
        <v>0</v>
      </c>
      <c r="E47" s="198">
        <f>VLOOKUP($A47,'Autochange OI'!$E$4:$L$88,5,0)</f>
        <v>0</v>
      </c>
      <c r="F47" s="199">
        <f>VLOOKUP($A47,'Autochange OI'!$E$4:$L$88,6,0)</f>
        <v>0</v>
      </c>
      <c r="G47" s="199">
        <f>VLOOKUP($A47,'Autochange OI'!$E$4:$L$88,7,0)</f>
        <v>0</v>
      </c>
      <c r="H47" s="199">
        <f>VLOOKUP($A47,'Autochange OI'!$E$4:$L$88,8,0)</f>
        <v>0</v>
      </c>
      <c r="I47" s="295">
        <f t="shared" si="6"/>
        <v>0</v>
      </c>
      <c r="J47" s="296"/>
      <c r="K47" s="293">
        <f t="shared" si="7"/>
        <v>0</v>
      </c>
      <c r="L47" s="294"/>
      <c r="AA47" s="213"/>
    </row>
    <row r="48" spans="1:27" ht="18" thickBot="1" x14ac:dyDescent="0.4">
      <c r="A48" s="221">
        <f t="shared" si="3"/>
        <v>63</v>
      </c>
      <c r="B48" s="200">
        <f>VLOOKUP($A48,'Autochange OI'!$E$4:$L$88,2,0)</f>
        <v>0</v>
      </c>
      <c r="C48" s="198">
        <f>VLOOKUP($A48,'Autochange OI'!$E$4:$L$88,3,0)</f>
        <v>0</v>
      </c>
      <c r="D48" s="198">
        <f>VLOOKUP($A48,'Autochange OI'!$E$4:$L$88,4,0)</f>
        <v>0</v>
      </c>
      <c r="E48" s="198">
        <f>VLOOKUP($A48,'Autochange OI'!$E$4:$L$88,5,0)</f>
        <v>0</v>
      </c>
      <c r="F48" s="199">
        <f>VLOOKUP($A48,'Autochange OI'!$E$4:$L$88,6,0)</f>
        <v>0</v>
      </c>
      <c r="G48" s="199">
        <f>VLOOKUP($A48,'Autochange OI'!$E$4:$L$88,7,0)</f>
        <v>0</v>
      </c>
      <c r="H48" s="199">
        <f>VLOOKUP($A48,'Autochange OI'!$E$4:$L$88,8,0)</f>
        <v>0</v>
      </c>
      <c r="I48" s="295">
        <f t="shared" si="6"/>
        <v>0</v>
      </c>
      <c r="J48" s="296"/>
      <c r="K48" s="293">
        <f t="shared" si="7"/>
        <v>0</v>
      </c>
      <c r="L48" s="294"/>
      <c r="AA48" s="213"/>
    </row>
    <row r="49" spans="1:27" ht="18" thickBot="1" x14ac:dyDescent="0.4">
      <c r="A49" s="221">
        <f t="shared" si="3"/>
        <v>62</v>
      </c>
      <c r="B49" s="200">
        <f>VLOOKUP($A49,'Autochange OI'!$E$4:$L$88,2,0)</f>
        <v>0</v>
      </c>
      <c r="C49" s="198">
        <f>VLOOKUP($A49,'Autochange OI'!$E$4:$L$88,3,0)</f>
        <v>0</v>
      </c>
      <c r="D49" s="198">
        <f>VLOOKUP($A49,'Autochange OI'!$E$4:$L$88,4,0)</f>
        <v>0</v>
      </c>
      <c r="E49" s="198">
        <f>VLOOKUP($A49,'Autochange OI'!$E$4:$L$88,5,0)</f>
        <v>0</v>
      </c>
      <c r="F49" s="199">
        <f>VLOOKUP($A49,'Autochange OI'!$E$4:$L$88,6,0)</f>
        <v>0</v>
      </c>
      <c r="G49" s="199">
        <f>VLOOKUP($A49,'Autochange OI'!$E$4:$L$88,7,0)</f>
        <v>0</v>
      </c>
      <c r="H49" s="199">
        <f>VLOOKUP($A49,'Autochange OI'!$E$4:$L$88,8,0)</f>
        <v>0</v>
      </c>
      <c r="I49" s="295">
        <f t="shared" si="6"/>
        <v>0</v>
      </c>
      <c r="J49" s="296"/>
      <c r="K49" s="293">
        <f t="shared" si="7"/>
        <v>0</v>
      </c>
      <c r="L49" s="294"/>
      <c r="AA49" s="213"/>
    </row>
    <row r="50" spans="1:27" ht="18" thickBot="1" x14ac:dyDescent="0.4">
      <c r="A50" s="221">
        <f t="shared" si="3"/>
        <v>61</v>
      </c>
      <c r="B50" s="200">
        <f>VLOOKUP($A50,'Autochange OI'!$E$4:$L$88,2,0)</f>
        <v>0</v>
      </c>
      <c r="C50" s="198">
        <f>VLOOKUP($A50,'Autochange OI'!$E$4:$L$88,3,0)</f>
        <v>0</v>
      </c>
      <c r="D50" s="198">
        <f>VLOOKUP($A50,'Autochange OI'!$E$4:$L$88,4,0)</f>
        <v>0</v>
      </c>
      <c r="E50" s="198">
        <f>VLOOKUP($A50,'Autochange OI'!$E$4:$L$88,5,0)</f>
        <v>0</v>
      </c>
      <c r="F50" s="199">
        <f>VLOOKUP($A50,'Autochange OI'!$E$4:$L$88,6,0)</f>
        <v>0</v>
      </c>
      <c r="G50" s="199">
        <f>VLOOKUP($A50,'Autochange OI'!$E$4:$L$88,7,0)</f>
        <v>0</v>
      </c>
      <c r="H50" s="199">
        <f>VLOOKUP($A50,'Autochange OI'!$E$4:$L$88,8,0)</f>
        <v>0</v>
      </c>
      <c r="I50" s="295">
        <f t="shared" si="6"/>
        <v>0</v>
      </c>
      <c r="J50" s="296"/>
      <c r="K50" s="293">
        <f t="shared" si="7"/>
        <v>0</v>
      </c>
      <c r="L50" s="294"/>
      <c r="AA50" s="213"/>
    </row>
    <row r="51" spans="1:27" ht="18" thickBot="1" x14ac:dyDescent="0.4">
      <c r="A51" s="221">
        <f t="shared" si="3"/>
        <v>60</v>
      </c>
      <c r="B51" s="200">
        <f>VLOOKUP($A51,'Autochange OI'!$E$4:$L$88,2,0)</f>
        <v>0</v>
      </c>
      <c r="C51" s="198">
        <f>VLOOKUP($A51,'Autochange OI'!$E$4:$L$88,3,0)</f>
        <v>0</v>
      </c>
      <c r="D51" s="198">
        <f>VLOOKUP($A51,'Autochange OI'!$E$4:$L$88,4,0)</f>
        <v>0</v>
      </c>
      <c r="E51" s="198">
        <f>VLOOKUP($A51,'Autochange OI'!$E$4:$L$88,5,0)</f>
        <v>0</v>
      </c>
      <c r="F51" s="199">
        <f>VLOOKUP($A51,'Autochange OI'!$E$4:$L$88,6,0)</f>
        <v>0</v>
      </c>
      <c r="G51" s="199">
        <f>VLOOKUP($A51,'Autochange OI'!$E$4:$L$88,7,0)</f>
        <v>0</v>
      </c>
      <c r="H51" s="199">
        <f>VLOOKUP($A51,'Autochange OI'!$E$4:$L$88,8,0)</f>
        <v>0</v>
      </c>
      <c r="I51" s="295">
        <f t="shared" si="6"/>
        <v>0</v>
      </c>
      <c r="J51" s="296"/>
      <c r="K51" s="293">
        <f t="shared" si="7"/>
        <v>0</v>
      </c>
      <c r="L51" s="294"/>
      <c r="AA51" s="213"/>
    </row>
    <row r="52" spans="1:27" ht="18" thickBot="1" x14ac:dyDescent="0.4">
      <c r="A52" s="221">
        <f t="shared" si="3"/>
        <v>59</v>
      </c>
      <c r="B52" s="200">
        <f>VLOOKUP($A52,'Autochange OI'!$E$4:$L$88,2,0)</f>
        <v>0</v>
      </c>
      <c r="C52" s="198">
        <f>VLOOKUP($A52,'Autochange OI'!$E$4:$L$88,3,0)</f>
        <v>0</v>
      </c>
      <c r="D52" s="198">
        <f>VLOOKUP($A52,'Autochange OI'!$E$4:$L$88,4,0)</f>
        <v>0</v>
      </c>
      <c r="E52" s="198">
        <f>VLOOKUP($A52,'Autochange OI'!$E$4:$L$88,5,0)</f>
        <v>0</v>
      </c>
      <c r="F52" s="199">
        <f>VLOOKUP($A52,'Autochange OI'!$E$4:$L$88,6,0)</f>
        <v>0</v>
      </c>
      <c r="G52" s="199">
        <f>VLOOKUP($A52,'Autochange OI'!$E$4:$L$88,7,0)</f>
        <v>0</v>
      </c>
      <c r="H52" s="199">
        <f>VLOOKUP($A52,'Autochange OI'!$E$4:$L$88,8,0)</f>
        <v>0</v>
      </c>
      <c r="I52" s="295">
        <f t="shared" si="6"/>
        <v>0</v>
      </c>
      <c r="J52" s="296"/>
      <c r="K52" s="293">
        <f t="shared" si="7"/>
        <v>0</v>
      </c>
      <c r="L52" s="294"/>
      <c r="AA52" s="213"/>
    </row>
    <row r="53" spans="1:27" ht="18" thickBot="1" x14ac:dyDescent="0.4">
      <c r="A53" s="221">
        <f t="shared" si="3"/>
        <v>58</v>
      </c>
      <c r="B53" s="200">
        <f>VLOOKUP($A53,'Autochange OI'!$E$4:$L$88,2,0)</f>
        <v>0</v>
      </c>
      <c r="C53" s="198">
        <f>VLOOKUP($A53,'Autochange OI'!$E$4:$L$88,3,0)</f>
        <v>0</v>
      </c>
      <c r="D53" s="198">
        <f>VLOOKUP($A53,'Autochange OI'!$E$4:$L$88,4,0)</f>
        <v>0</v>
      </c>
      <c r="E53" s="198">
        <f>VLOOKUP($A53,'Autochange OI'!$E$4:$L$88,5,0)</f>
        <v>0</v>
      </c>
      <c r="F53" s="199">
        <f>VLOOKUP($A53,'Autochange OI'!$E$4:$L$88,6,0)</f>
        <v>0</v>
      </c>
      <c r="G53" s="199">
        <f>VLOOKUP($A53,'Autochange OI'!$E$4:$L$88,7,0)</f>
        <v>0</v>
      </c>
      <c r="H53" s="199">
        <f>VLOOKUP($A53,'Autochange OI'!$E$4:$L$88,8,0)</f>
        <v>0</v>
      </c>
      <c r="I53" s="295">
        <f t="shared" si="6"/>
        <v>0</v>
      </c>
      <c r="J53" s="296"/>
      <c r="K53" s="293">
        <f t="shared" si="7"/>
        <v>0</v>
      </c>
      <c r="L53" s="294"/>
      <c r="AA53" s="213"/>
    </row>
    <row r="54" spans="1:27" ht="18" thickBot="1" x14ac:dyDescent="0.4">
      <c r="A54" s="221">
        <f t="shared" si="3"/>
        <v>57</v>
      </c>
      <c r="B54" s="200">
        <f>VLOOKUP($A54,'Autochange OI'!$E$4:$L$88,2,0)</f>
        <v>0</v>
      </c>
      <c r="C54" s="198">
        <f>VLOOKUP($A54,'Autochange OI'!$E$4:$L$88,3,0)</f>
        <v>0</v>
      </c>
      <c r="D54" s="198">
        <f>VLOOKUP($A54,'Autochange OI'!$E$4:$L$88,4,0)</f>
        <v>0</v>
      </c>
      <c r="E54" s="198">
        <f>VLOOKUP($A54,'Autochange OI'!$E$4:$L$88,5,0)</f>
        <v>0</v>
      </c>
      <c r="F54" s="199">
        <f>VLOOKUP($A54,'Autochange OI'!$E$4:$L$88,6,0)</f>
        <v>0</v>
      </c>
      <c r="G54" s="199">
        <f>VLOOKUP($A54,'Autochange OI'!$E$4:$L$88,7,0)</f>
        <v>0</v>
      </c>
      <c r="H54" s="199">
        <f>VLOOKUP($A54,'Autochange OI'!$E$4:$L$88,8,0)</f>
        <v>0</v>
      </c>
      <c r="I54" s="295">
        <f t="shared" si="6"/>
        <v>0</v>
      </c>
      <c r="J54" s="296"/>
      <c r="K54" s="293">
        <f t="shared" si="7"/>
        <v>0</v>
      </c>
      <c r="L54" s="294"/>
      <c r="AA54" s="213"/>
    </row>
    <row r="55" spans="1:27" s="212" customFormat="1" ht="18" thickBot="1" x14ac:dyDescent="0.4">
      <c r="A55" s="221">
        <f t="shared" si="3"/>
        <v>56</v>
      </c>
      <c r="B55" s="200">
        <f>VLOOKUP($A55,'Autochange OI'!$E$4:$L$88,2,0)</f>
        <v>0</v>
      </c>
      <c r="C55" s="198">
        <f>VLOOKUP($A55,'Autochange OI'!$E$4:$L$88,3,0)</f>
        <v>0</v>
      </c>
      <c r="D55" s="198">
        <f>VLOOKUP($A55,'Autochange OI'!$E$4:$L$88,4,0)</f>
        <v>0</v>
      </c>
      <c r="E55" s="198">
        <f>VLOOKUP($A55,'Autochange OI'!$E$4:$L$88,5,0)</f>
        <v>0</v>
      </c>
      <c r="F55" s="199">
        <f>VLOOKUP($A55,'Autochange OI'!$E$4:$L$88,6,0)</f>
        <v>0</v>
      </c>
      <c r="G55" s="199">
        <f>VLOOKUP($A55,'Autochange OI'!$E$4:$L$88,7,0)</f>
        <v>0</v>
      </c>
      <c r="H55" s="199">
        <f>VLOOKUP($A55,'Autochange OI'!$E$4:$L$88,8,0)</f>
        <v>0</v>
      </c>
      <c r="I55" s="295">
        <f t="shared" si="6"/>
        <v>0</v>
      </c>
      <c r="J55" s="296"/>
      <c r="K55" s="293">
        <f t="shared" si="7"/>
        <v>0</v>
      </c>
      <c r="L55" s="294"/>
      <c r="AA55" s="213"/>
    </row>
    <row r="56" spans="1:27" s="212" customFormat="1" ht="18" thickBot="1" x14ac:dyDescent="0.4">
      <c r="A56" s="221">
        <f t="shared" si="3"/>
        <v>55</v>
      </c>
      <c r="B56" s="200">
        <f>VLOOKUP($A56,'Autochange OI'!$E$4:$L$88,2,0)</f>
        <v>0</v>
      </c>
      <c r="C56" s="198">
        <f>VLOOKUP($A56,'Autochange OI'!$E$4:$L$88,3,0)</f>
        <v>0</v>
      </c>
      <c r="D56" s="198">
        <f>VLOOKUP($A56,'Autochange OI'!$E$4:$L$88,4,0)</f>
        <v>0</v>
      </c>
      <c r="E56" s="198">
        <f>VLOOKUP($A56,'Autochange OI'!$E$4:$L$88,5,0)</f>
        <v>0</v>
      </c>
      <c r="F56" s="199">
        <f>VLOOKUP($A56,'Autochange OI'!$E$4:$L$88,6,0)</f>
        <v>0</v>
      </c>
      <c r="G56" s="199">
        <f>VLOOKUP($A56,'Autochange OI'!$E$4:$L$88,7,0)</f>
        <v>0</v>
      </c>
      <c r="H56" s="199">
        <f>VLOOKUP($A56,'Autochange OI'!$E$4:$L$88,8,0)</f>
        <v>0</v>
      </c>
      <c r="I56" s="295">
        <f t="shared" si="6"/>
        <v>0</v>
      </c>
      <c r="J56" s="296"/>
      <c r="K56" s="293">
        <f t="shared" si="7"/>
        <v>0</v>
      </c>
      <c r="L56" s="294"/>
      <c r="AA56" s="213"/>
    </row>
    <row r="57" spans="1:27" s="212" customFormat="1" ht="18" thickBot="1" x14ac:dyDescent="0.4">
      <c r="A57" s="221">
        <f t="shared" si="3"/>
        <v>54</v>
      </c>
      <c r="B57" s="200">
        <f>VLOOKUP($A57,'Autochange OI'!$E$4:$L$88,2,0)</f>
        <v>0</v>
      </c>
      <c r="C57" s="198">
        <f>VLOOKUP($A57,'Autochange OI'!$E$4:$L$88,3,0)</f>
        <v>0</v>
      </c>
      <c r="D57" s="198">
        <f>VLOOKUP($A57,'Autochange OI'!$E$4:$L$88,4,0)</f>
        <v>0</v>
      </c>
      <c r="E57" s="198">
        <f>VLOOKUP($A57,'Autochange OI'!$E$4:$L$88,5,0)</f>
        <v>0</v>
      </c>
      <c r="F57" s="199">
        <f>VLOOKUP($A57,'Autochange OI'!$E$4:$L$88,6,0)</f>
        <v>0</v>
      </c>
      <c r="G57" s="199">
        <f>VLOOKUP($A57,'Autochange OI'!$E$4:$L$88,7,0)</f>
        <v>0</v>
      </c>
      <c r="H57" s="199">
        <f>VLOOKUP($A57,'Autochange OI'!$E$4:$L$88,8,0)</f>
        <v>0</v>
      </c>
      <c r="I57" s="295">
        <f t="shared" si="6"/>
        <v>0</v>
      </c>
      <c r="J57" s="296"/>
      <c r="K57" s="293">
        <f t="shared" si="7"/>
        <v>0</v>
      </c>
      <c r="L57" s="294"/>
      <c r="AA57" s="213"/>
    </row>
    <row r="58" spans="1:27" s="212" customFormat="1" ht="18" thickBot="1" x14ac:dyDescent="0.4">
      <c r="A58" s="221">
        <f t="shared" si="3"/>
        <v>53</v>
      </c>
      <c r="B58" s="200">
        <f>VLOOKUP($A58,'Autochange OI'!$E$4:$L$88,2,0)</f>
        <v>0</v>
      </c>
      <c r="C58" s="198">
        <f>VLOOKUP($A58,'Autochange OI'!$E$4:$L$88,3,0)</f>
        <v>0</v>
      </c>
      <c r="D58" s="198">
        <f>VLOOKUP($A58,'Autochange OI'!$E$4:$L$88,4,0)</f>
        <v>0</v>
      </c>
      <c r="E58" s="198">
        <f>VLOOKUP($A58,'Autochange OI'!$E$4:$L$88,5,0)</f>
        <v>0</v>
      </c>
      <c r="F58" s="199">
        <f>VLOOKUP($A58,'Autochange OI'!$E$4:$L$88,6,0)</f>
        <v>0</v>
      </c>
      <c r="G58" s="199">
        <f>VLOOKUP($A58,'Autochange OI'!$E$4:$L$88,7,0)</f>
        <v>0</v>
      </c>
      <c r="H58" s="199">
        <f>VLOOKUP($A58,'Autochange OI'!$E$4:$L$88,8,0)</f>
        <v>0</v>
      </c>
      <c r="I58" s="295">
        <f t="shared" si="6"/>
        <v>0</v>
      </c>
      <c r="J58" s="296"/>
      <c r="K58" s="293">
        <f t="shared" si="7"/>
        <v>0</v>
      </c>
      <c r="L58" s="294"/>
      <c r="AA58" s="213"/>
    </row>
    <row r="59" spans="1:27" s="212" customFormat="1" ht="18" thickBot="1" x14ac:dyDescent="0.4">
      <c r="A59" s="221">
        <f t="shared" si="3"/>
        <v>52</v>
      </c>
      <c r="B59" s="200">
        <f>VLOOKUP($A59,'Autochange OI'!$E$4:$L$88,2,0)</f>
        <v>0</v>
      </c>
      <c r="C59" s="198">
        <f>VLOOKUP($A59,'Autochange OI'!$E$4:$L$88,3,0)</f>
        <v>0</v>
      </c>
      <c r="D59" s="198">
        <f>VLOOKUP($A59,'Autochange OI'!$E$4:$L$88,4,0)</f>
        <v>0</v>
      </c>
      <c r="E59" s="198">
        <f>VLOOKUP($A59,'Autochange OI'!$E$4:$L$88,5,0)</f>
        <v>0</v>
      </c>
      <c r="F59" s="199">
        <f>VLOOKUP($A59,'Autochange OI'!$E$4:$L$88,6,0)</f>
        <v>0</v>
      </c>
      <c r="G59" s="199">
        <f>VLOOKUP($A59,'Autochange OI'!$E$4:$L$88,7,0)</f>
        <v>0</v>
      </c>
      <c r="H59" s="199">
        <f>VLOOKUP($A59,'Autochange OI'!$E$4:$L$88,8,0)</f>
        <v>0</v>
      </c>
      <c r="I59" s="295">
        <f t="shared" si="6"/>
        <v>0</v>
      </c>
      <c r="J59" s="296"/>
      <c r="K59" s="293">
        <f t="shared" si="7"/>
        <v>0</v>
      </c>
      <c r="L59" s="294"/>
      <c r="AA59" s="213"/>
    </row>
    <row r="60" spans="1:27" s="212" customFormat="1" ht="18" thickBot="1" x14ac:dyDescent="0.4">
      <c r="A60" s="221">
        <f t="shared" si="3"/>
        <v>51</v>
      </c>
      <c r="B60" s="200">
        <f>VLOOKUP($A60,'Autochange OI'!$E$4:$L$88,2,0)</f>
        <v>0</v>
      </c>
      <c r="C60" s="198">
        <f>VLOOKUP($A60,'Autochange OI'!$E$4:$L$88,3,0)</f>
        <v>0</v>
      </c>
      <c r="D60" s="198">
        <f>VLOOKUP($A60,'Autochange OI'!$E$4:$L$88,4,0)</f>
        <v>0</v>
      </c>
      <c r="E60" s="198">
        <f>VLOOKUP($A60,'Autochange OI'!$E$4:$L$88,5,0)</f>
        <v>0</v>
      </c>
      <c r="F60" s="199">
        <f>VLOOKUP($A60,'Autochange OI'!$E$4:$L$88,6,0)</f>
        <v>0</v>
      </c>
      <c r="G60" s="199">
        <f>VLOOKUP($A60,'Autochange OI'!$E$4:$L$88,7,0)</f>
        <v>0</v>
      </c>
      <c r="H60" s="199">
        <f>VLOOKUP($A60,'Autochange OI'!$E$4:$L$88,8,0)</f>
        <v>0</v>
      </c>
      <c r="I60" s="295">
        <f t="shared" si="6"/>
        <v>0</v>
      </c>
      <c r="J60" s="296"/>
      <c r="K60" s="293">
        <f t="shared" si="7"/>
        <v>0</v>
      </c>
      <c r="L60" s="294"/>
      <c r="AA60" s="213"/>
    </row>
    <row r="61" spans="1:27" s="212" customFormat="1" ht="18" thickBot="1" x14ac:dyDescent="0.4">
      <c r="A61" s="221">
        <f t="shared" si="3"/>
        <v>50</v>
      </c>
      <c r="B61" s="200">
        <f>VLOOKUP($A61,'Autochange OI'!$E$4:$L$88,2,0)</f>
        <v>0</v>
      </c>
      <c r="C61" s="198">
        <f>VLOOKUP($A61,'Autochange OI'!$E$4:$L$88,3,0)</f>
        <v>0</v>
      </c>
      <c r="D61" s="198">
        <f>VLOOKUP($A61,'Autochange OI'!$E$4:$L$88,4,0)</f>
        <v>0</v>
      </c>
      <c r="E61" s="198">
        <f>VLOOKUP($A61,'Autochange OI'!$E$4:$L$88,5,0)</f>
        <v>0</v>
      </c>
      <c r="F61" s="199">
        <f>VLOOKUP($A61,'Autochange OI'!$E$4:$L$88,6,0)</f>
        <v>0</v>
      </c>
      <c r="G61" s="199">
        <f>VLOOKUP($A61,'Autochange OI'!$E$4:$L$88,7,0)</f>
        <v>0</v>
      </c>
      <c r="H61" s="199">
        <f>VLOOKUP($A61,'Autochange OI'!$E$4:$L$88,8,0)</f>
        <v>0</v>
      </c>
      <c r="I61" s="295">
        <f t="shared" si="6"/>
        <v>0</v>
      </c>
      <c r="J61" s="296"/>
      <c r="K61" s="293">
        <f t="shared" si="7"/>
        <v>0</v>
      </c>
      <c r="L61" s="294"/>
      <c r="AA61" s="213"/>
    </row>
    <row r="62" spans="1:27" s="212" customFormat="1" ht="18" thickBot="1" x14ac:dyDescent="0.4">
      <c r="A62" s="221">
        <f t="shared" si="3"/>
        <v>49</v>
      </c>
      <c r="B62" s="200">
        <f>VLOOKUP($A62,'Autochange OI'!$E$4:$L$88,2,0)</f>
        <v>0</v>
      </c>
      <c r="C62" s="198">
        <f>VLOOKUP($A62,'Autochange OI'!$E$4:$L$88,3,0)</f>
        <v>0</v>
      </c>
      <c r="D62" s="198">
        <f>VLOOKUP($A62,'Autochange OI'!$E$4:$L$88,4,0)</f>
        <v>0</v>
      </c>
      <c r="E62" s="198">
        <f>VLOOKUP($A62,'Autochange OI'!$E$4:$L$88,5,0)</f>
        <v>0</v>
      </c>
      <c r="F62" s="199">
        <f>VLOOKUP($A62,'Autochange OI'!$E$4:$L$88,6,0)</f>
        <v>0</v>
      </c>
      <c r="G62" s="199">
        <f>VLOOKUP($A62,'Autochange OI'!$E$4:$L$88,7,0)</f>
        <v>0</v>
      </c>
      <c r="H62" s="199">
        <f>VLOOKUP($A62,'Autochange OI'!$E$4:$L$88,8,0)</f>
        <v>0</v>
      </c>
      <c r="I62" s="295">
        <f t="shared" si="6"/>
        <v>0</v>
      </c>
      <c r="J62" s="296"/>
      <c r="K62" s="293">
        <f t="shared" si="7"/>
        <v>0</v>
      </c>
      <c r="L62" s="294"/>
      <c r="AA62" s="213"/>
    </row>
    <row r="63" spans="1:27" s="212" customFormat="1" ht="18" thickBot="1" x14ac:dyDescent="0.4">
      <c r="A63" s="221">
        <f t="shared" si="3"/>
        <v>48</v>
      </c>
      <c r="B63" s="200">
        <f>VLOOKUP($A63,'Autochange OI'!$E$4:$L$88,2,0)</f>
        <v>0</v>
      </c>
      <c r="C63" s="198">
        <f>VLOOKUP($A63,'Autochange OI'!$E$4:$L$88,3,0)</f>
        <v>0</v>
      </c>
      <c r="D63" s="198">
        <f>VLOOKUP($A63,'Autochange OI'!$E$4:$L$88,4,0)</f>
        <v>0</v>
      </c>
      <c r="E63" s="198">
        <f>VLOOKUP($A63,'Autochange OI'!$E$4:$L$88,5,0)</f>
        <v>0</v>
      </c>
      <c r="F63" s="199">
        <f>VLOOKUP($A63,'Autochange OI'!$E$4:$L$88,6,0)</f>
        <v>0</v>
      </c>
      <c r="G63" s="199">
        <f>VLOOKUP($A63,'Autochange OI'!$E$4:$L$88,7,0)</f>
        <v>0</v>
      </c>
      <c r="H63" s="199">
        <f>VLOOKUP($A63,'Autochange OI'!$E$4:$L$88,8,0)</f>
        <v>0</v>
      </c>
      <c r="I63" s="295">
        <f t="shared" si="6"/>
        <v>0</v>
      </c>
      <c r="J63" s="296"/>
      <c r="K63" s="293">
        <f t="shared" si="7"/>
        <v>0</v>
      </c>
      <c r="L63" s="294"/>
      <c r="AA63" s="213"/>
    </row>
    <row r="64" spans="1:27" s="212" customFormat="1" ht="18" thickBot="1" x14ac:dyDescent="0.4">
      <c r="A64" s="221">
        <f t="shared" si="3"/>
        <v>47</v>
      </c>
      <c r="B64" s="200">
        <f>VLOOKUP($A64,'Autochange OI'!$E$4:$L$88,2,0)</f>
        <v>0</v>
      </c>
      <c r="C64" s="198">
        <f>VLOOKUP($A64,'Autochange OI'!$E$4:$L$88,3,0)</f>
        <v>0</v>
      </c>
      <c r="D64" s="198">
        <f>VLOOKUP($A64,'Autochange OI'!$E$4:$L$88,4,0)</f>
        <v>0</v>
      </c>
      <c r="E64" s="198">
        <f>VLOOKUP($A64,'Autochange OI'!$E$4:$L$88,5,0)</f>
        <v>0</v>
      </c>
      <c r="F64" s="199">
        <f>VLOOKUP($A64,'Autochange OI'!$E$4:$L$88,6,0)</f>
        <v>0</v>
      </c>
      <c r="G64" s="199">
        <f>VLOOKUP($A64,'Autochange OI'!$E$4:$L$88,7,0)</f>
        <v>0</v>
      </c>
      <c r="H64" s="199">
        <f>VLOOKUP($A64,'Autochange OI'!$E$4:$L$88,8,0)</f>
        <v>0</v>
      </c>
      <c r="I64" s="295">
        <f t="shared" si="6"/>
        <v>0</v>
      </c>
      <c r="J64" s="296"/>
      <c r="K64" s="293">
        <f t="shared" si="7"/>
        <v>0</v>
      </c>
      <c r="L64" s="294"/>
      <c r="AA64" s="213"/>
    </row>
    <row r="65" spans="1:27" s="212" customFormat="1" ht="18" thickBot="1" x14ac:dyDescent="0.4">
      <c r="A65" s="221">
        <f t="shared" si="3"/>
        <v>46</v>
      </c>
      <c r="B65" s="200">
        <f>VLOOKUP($A65,'Autochange OI'!$E$4:$L$88,2,0)</f>
        <v>0</v>
      </c>
      <c r="C65" s="198">
        <f>VLOOKUP($A65,'Autochange OI'!$E$4:$L$88,3,0)</f>
        <v>0</v>
      </c>
      <c r="D65" s="198">
        <f>VLOOKUP($A65,'Autochange OI'!$E$4:$L$88,4,0)</f>
        <v>0</v>
      </c>
      <c r="E65" s="198">
        <f>VLOOKUP($A65,'Autochange OI'!$E$4:$L$88,5,0)</f>
        <v>0</v>
      </c>
      <c r="F65" s="199">
        <f>VLOOKUP($A65,'Autochange OI'!$E$4:$L$88,6,0)</f>
        <v>0</v>
      </c>
      <c r="G65" s="199">
        <f>VLOOKUP($A65,'Autochange OI'!$E$4:$L$88,7,0)</f>
        <v>0</v>
      </c>
      <c r="H65" s="199">
        <f>VLOOKUP($A65,'Autochange OI'!$E$4:$L$88,8,0)</f>
        <v>0</v>
      </c>
      <c r="I65" s="295">
        <f t="shared" si="6"/>
        <v>0</v>
      </c>
      <c r="J65" s="296"/>
      <c r="K65" s="293">
        <f t="shared" si="7"/>
        <v>0</v>
      </c>
      <c r="L65" s="294"/>
      <c r="AA65" s="213"/>
    </row>
    <row r="66" spans="1:27" s="212" customFormat="1" ht="18" thickBot="1" x14ac:dyDescent="0.4">
      <c r="A66" s="221">
        <f t="shared" si="3"/>
        <v>45</v>
      </c>
      <c r="B66" s="200">
        <f>VLOOKUP($A66,'Autochange OI'!$E$4:$L$88,2,0)</f>
        <v>0</v>
      </c>
      <c r="C66" s="198">
        <f>VLOOKUP($A66,'Autochange OI'!$E$4:$L$88,3,0)</f>
        <v>0</v>
      </c>
      <c r="D66" s="198">
        <f>VLOOKUP($A66,'Autochange OI'!$E$4:$L$88,4,0)</f>
        <v>0</v>
      </c>
      <c r="E66" s="198">
        <f>VLOOKUP($A66,'Autochange OI'!$E$4:$L$88,5,0)</f>
        <v>0</v>
      </c>
      <c r="F66" s="199">
        <f>VLOOKUP($A66,'Autochange OI'!$E$4:$L$88,6,0)</f>
        <v>0</v>
      </c>
      <c r="G66" s="199">
        <f>VLOOKUP($A66,'Autochange OI'!$E$4:$L$88,7,0)</f>
        <v>0</v>
      </c>
      <c r="H66" s="199">
        <f>VLOOKUP($A66,'Autochange OI'!$E$4:$L$88,8,0)</f>
        <v>0</v>
      </c>
      <c r="I66" s="295">
        <f t="shared" si="6"/>
        <v>0</v>
      </c>
      <c r="J66" s="296"/>
      <c r="K66" s="293">
        <f t="shared" si="7"/>
        <v>0</v>
      </c>
      <c r="L66" s="294"/>
      <c r="AA66" s="213"/>
    </row>
    <row r="67" spans="1:27" s="212" customFormat="1" ht="18" thickBot="1" x14ac:dyDescent="0.4">
      <c r="A67" s="221">
        <f t="shared" si="3"/>
        <v>44</v>
      </c>
      <c r="B67" s="200">
        <f>VLOOKUP($A67,'Autochange OI'!$E$4:$L$88,2,0)</f>
        <v>0</v>
      </c>
      <c r="C67" s="198">
        <f>VLOOKUP($A67,'Autochange OI'!$E$4:$L$88,3,0)</f>
        <v>0</v>
      </c>
      <c r="D67" s="198">
        <f>VLOOKUP($A67,'Autochange OI'!$E$4:$L$88,4,0)</f>
        <v>0</v>
      </c>
      <c r="E67" s="198">
        <f>VLOOKUP($A67,'Autochange OI'!$E$4:$L$88,5,0)</f>
        <v>0</v>
      </c>
      <c r="F67" s="199">
        <f>VLOOKUP($A67,'Autochange OI'!$E$4:$L$88,6,0)</f>
        <v>0</v>
      </c>
      <c r="G67" s="199">
        <f>VLOOKUP($A67,'Autochange OI'!$E$4:$L$88,7,0)</f>
        <v>0</v>
      </c>
      <c r="H67" s="199">
        <f>VLOOKUP($A67,'Autochange OI'!$E$4:$L$88,8,0)</f>
        <v>0</v>
      </c>
      <c r="I67" s="295">
        <f t="shared" si="6"/>
        <v>0</v>
      </c>
      <c r="J67" s="296"/>
      <c r="K67" s="293">
        <f t="shared" si="7"/>
        <v>0</v>
      </c>
      <c r="L67" s="294"/>
      <c r="AA67" s="213"/>
    </row>
    <row r="68" spans="1:27" s="212" customFormat="1" ht="18" thickBot="1" x14ac:dyDescent="0.4">
      <c r="A68" s="221">
        <f t="shared" si="3"/>
        <v>43</v>
      </c>
      <c r="B68" s="200">
        <f>VLOOKUP($A68,'Autochange OI'!$E$4:$L$88,2,0)</f>
        <v>0</v>
      </c>
      <c r="C68" s="198">
        <f>VLOOKUP($A68,'Autochange OI'!$E$4:$L$88,3,0)</f>
        <v>0</v>
      </c>
      <c r="D68" s="198">
        <f>VLOOKUP($A68,'Autochange OI'!$E$4:$L$88,4,0)</f>
        <v>0</v>
      </c>
      <c r="E68" s="198">
        <f>VLOOKUP($A68,'Autochange OI'!$E$4:$L$88,5,0)</f>
        <v>0</v>
      </c>
      <c r="F68" s="199">
        <f>VLOOKUP($A68,'Autochange OI'!$E$4:$L$88,6,0)</f>
        <v>0</v>
      </c>
      <c r="G68" s="199">
        <f>VLOOKUP($A68,'Autochange OI'!$E$4:$L$88,7,0)</f>
        <v>0</v>
      </c>
      <c r="H68" s="199">
        <f>VLOOKUP($A68,'Autochange OI'!$E$4:$L$88,8,0)</f>
        <v>0</v>
      </c>
      <c r="I68" s="295">
        <f t="shared" si="6"/>
        <v>0</v>
      </c>
      <c r="J68" s="296"/>
      <c r="K68" s="293">
        <f t="shared" si="7"/>
        <v>0</v>
      </c>
      <c r="L68" s="294"/>
      <c r="AA68" s="213"/>
    </row>
    <row r="69" spans="1:27" s="212" customFormat="1" ht="18" thickBot="1" x14ac:dyDescent="0.4">
      <c r="A69" s="221">
        <f t="shared" si="3"/>
        <v>42</v>
      </c>
      <c r="B69" s="200">
        <f>VLOOKUP($A69,'Autochange OI'!$E$4:$L$88,2,0)</f>
        <v>0</v>
      </c>
      <c r="C69" s="198">
        <f>VLOOKUP($A69,'Autochange OI'!$E$4:$L$88,3,0)</f>
        <v>0</v>
      </c>
      <c r="D69" s="198">
        <f>VLOOKUP($A69,'Autochange OI'!$E$4:$L$88,4,0)</f>
        <v>0</v>
      </c>
      <c r="E69" s="198">
        <f>VLOOKUP($A69,'Autochange OI'!$E$4:$L$88,5,0)</f>
        <v>0</v>
      </c>
      <c r="F69" s="199">
        <f>VLOOKUP($A69,'Autochange OI'!$E$4:$L$88,6,0)</f>
        <v>0</v>
      </c>
      <c r="G69" s="199">
        <f>VLOOKUP($A69,'Autochange OI'!$E$4:$L$88,7,0)</f>
        <v>0</v>
      </c>
      <c r="H69" s="199">
        <f>VLOOKUP($A69,'Autochange OI'!$E$4:$L$88,8,0)</f>
        <v>0</v>
      </c>
      <c r="I69" s="295">
        <f t="shared" si="6"/>
        <v>0</v>
      </c>
      <c r="J69" s="296"/>
      <c r="K69" s="293">
        <f t="shared" si="7"/>
        <v>0</v>
      </c>
      <c r="L69" s="294"/>
      <c r="AA69" s="213"/>
    </row>
    <row r="70" spans="1:27" s="212" customFormat="1" ht="18" thickBot="1" x14ac:dyDescent="0.4">
      <c r="A70" s="221">
        <f t="shared" si="3"/>
        <v>41</v>
      </c>
      <c r="B70" s="200">
        <f>VLOOKUP($A70,'Autochange OI'!$E$4:$L$88,2,0)</f>
        <v>0</v>
      </c>
      <c r="C70" s="198">
        <f>VLOOKUP($A70,'Autochange OI'!$E$4:$L$88,3,0)</f>
        <v>0</v>
      </c>
      <c r="D70" s="198">
        <f>VLOOKUP($A70,'Autochange OI'!$E$4:$L$88,4,0)</f>
        <v>0</v>
      </c>
      <c r="E70" s="198">
        <f>VLOOKUP($A70,'Autochange OI'!$E$4:$L$88,5,0)</f>
        <v>0</v>
      </c>
      <c r="F70" s="199">
        <f>VLOOKUP($A70,'Autochange OI'!$E$4:$L$88,6,0)</f>
        <v>0</v>
      </c>
      <c r="G70" s="199">
        <f>VLOOKUP($A70,'Autochange OI'!$E$4:$L$88,7,0)</f>
        <v>0</v>
      </c>
      <c r="H70" s="199">
        <f>VLOOKUP($A70,'Autochange OI'!$E$4:$L$88,8,0)</f>
        <v>0</v>
      </c>
      <c r="I70" s="295">
        <f t="shared" si="6"/>
        <v>0</v>
      </c>
      <c r="J70" s="296"/>
      <c r="K70" s="293">
        <f t="shared" si="7"/>
        <v>0</v>
      </c>
      <c r="L70" s="294"/>
      <c r="AA70" s="213"/>
    </row>
    <row r="71" spans="1:27" s="212" customFormat="1" ht="18" thickBot="1" x14ac:dyDescent="0.4">
      <c r="A71" s="221">
        <f t="shared" si="3"/>
        <v>40</v>
      </c>
      <c r="B71" s="200">
        <f>VLOOKUP($A71,'Autochange OI'!$E$4:$L$88,2,0)</f>
        <v>0</v>
      </c>
      <c r="C71" s="198">
        <f>VLOOKUP($A71,'Autochange OI'!$E$4:$L$88,3,0)</f>
        <v>0</v>
      </c>
      <c r="D71" s="198">
        <f>VLOOKUP($A71,'Autochange OI'!$E$4:$L$88,4,0)</f>
        <v>0</v>
      </c>
      <c r="E71" s="198">
        <f>VLOOKUP($A71,'Autochange OI'!$E$4:$L$88,5,0)</f>
        <v>0</v>
      </c>
      <c r="F71" s="199">
        <f>VLOOKUP($A71,'Autochange OI'!$E$4:$L$88,6,0)</f>
        <v>0</v>
      </c>
      <c r="G71" s="199">
        <f>VLOOKUP($A71,'Autochange OI'!$E$4:$L$88,7,0)</f>
        <v>0</v>
      </c>
      <c r="H71" s="199">
        <f>VLOOKUP($A71,'Autochange OI'!$E$4:$L$88,8,0)</f>
        <v>0</v>
      </c>
      <c r="I71" s="295">
        <f t="shared" si="6"/>
        <v>0</v>
      </c>
      <c r="J71" s="296"/>
      <c r="K71" s="293">
        <f t="shared" si="7"/>
        <v>0</v>
      </c>
      <c r="L71" s="294"/>
      <c r="AA71" s="213"/>
    </row>
    <row r="72" spans="1:27" s="212" customFormat="1" ht="18" thickBot="1" x14ac:dyDescent="0.4">
      <c r="A72" s="221">
        <f t="shared" si="3"/>
        <v>39</v>
      </c>
      <c r="B72" s="200">
        <f>VLOOKUP($A72,'Autochange OI'!$E$4:$L$88,2,0)</f>
        <v>0</v>
      </c>
      <c r="C72" s="198">
        <f>VLOOKUP($A72,'Autochange OI'!$E$4:$L$88,3,0)</f>
        <v>0</v>
      </c>
      <c r="D72" s="198">
        <f>VLOOKUP($A72,'Autochange OI'!$E$4:$L$88,4,0)</f>
        <v>0</v>
      </c>
      <c r="E72" s="198">
        <f>VLOOKUP($A72,'Autochange OI'!$E$4:$L$88,5,0)</f>
        <v>0</v>
      </c>
      <c r="F72" s="199">
        <f>VLOOKUP($A72,'Autochange OI'!$E$4:$L$88,6,0)</f>
        <v>0</v>
      </c>
      <c r="G72" s="199">
        <f>VLOOKUP($A72,'Autochange OI'!$E$4:$L$88,7,0)</f>
        <v>0</v>
      </c>
      <c r="H72" s="199">
        <f>VLOOKUP($A72,'Autochange OI'!$E$4:$L$88,8,0)</f>
        <v>0</v>
      </c>
      <c r="I72" s="295">
        <f t="shared" si="6"/>
        <v>0</v>
      </c>
      <c r="J72" s="296"/>
      <c r="K72" s="293">
        <f t="shared" si="7"/>
        <v>0</v>
      </c>
      <c r="L72" s="294"/>
      <c r="AA72" s="213"/>
    </row>
    <row r="73" spans="1:27" s="212" customFormat="1" ht="18" thickBot="1" x14ac:dyDescent="0.4">
      <c r="A73" s="221">
        <f t="shared" si="3"/>
        <v>38</v>
      </c>
      <c r="B73" s="200">
        <f>VLOOKUP($A73,'Autochange OI'!$E$4:$L$88,2,0)</f>
        <v>0</v>
      </c>
      <c r="C73" s="198">
        <f>VLOOKUP($A73,'Autochange OI'!$E$4:$L$88,3,0)</f>
        <v>0</v>
      </c>
      <c r="D73" s="198">
        <f>VLOOKUP($A73,'Autochange OI'!$E$4:$L$88,4,0)</f>
        <v>0</v>
      </c>
      <c r="E73" s="198">
        <f>VLOOKUP($A73,'Autochange OI'!$E$4:$L$88,5,0)</f>
        <v>0</v>
      </c>
      <c r="F73" s="199">
        <f>VLOOKUP($A73,'Autochange OI'!$E$4:$L$88,6,0)</f>
        <v>0</v>
      </c>
      <c r="G73" s="199">
        <f>VLOOKUP($A73,'Autochange OI'!$E$4:$L$88,7,0)</f>
        <v>0</v>
      </c>
      <c r="H73" s="199">
        <f>VLOOKUP($A73,'Autochange OI'!$E$4:$L$88,8,0)</f>
        <v>0</v>
      </c>
      <c r="I73" s="295">
        <f t="shared" si="6"/>
        <v>0</v>
      </c>
      <c r="J73" s="296"/>
      <c r="K73" s="293">
        <f t="shared" si="7"/>
        <v>0</v>
      </c>
      <c r="L73" s="294"/>
      <c r="AA73" s="213"/>
    </row>
    <row r="74" spans="1:27" s="212" customFormat="1" ht="18" thickBot="1" x14ac:dyDescent="0.4">
      <c r="A74" s="221">
        <f t="shared" si="3"/>
        <v>37</v>
      </c>
      <c r="B74" s="200">
        <f>VLOOKUP($A74,'Autochange OI'!$E$4:$L$88,2,0)</f>
        <v>0</v>
      </c>
      <c r="C74" s="198">
        <f>VLOOKUP($A74,'Autochange OI'!$E$4:$L$88,3,0)</f>
        <v>0</v>
      </c>
      <c r="D74" s="198">
        <f>VLOOKUP($A74,'Autochange OI'!$E$4:$L$88,4,0)</f>
        <v>0</v>
      </c>
      <c r="E74" s="198">
        <f>VLOOKUP($A74,'Autochange OI'!$E$4:$L$88,5,0)</f>
        <v>0</v>
      </c>
      <c r="F74" s="199">
        <f>VLOOKUP($A74,'Autochange OI'!$E$4:$L$88,6,0)</f>
        <v>0</v>
      </c>
      <c r="G74" s="199">
        <f>VLOOKUP($A74,'Autochange OI'!$E$4:$L$88,7,0)</f>
        <v>0</v>
      </c>
      <c r="H74" s="199">
        <f>VLOOKUP($A74,'Autochange OI'!$E$4:$L$88,8,0)</f>
        <v>0</v>
      </c>
      <c r="I74" s="295">
        <f t="shared" si="6"/>
        <v>0</v>
      </c>
      <c r="J74" s="296"/>
      <c r="K74" s="293">
        <f t="shared" si="7"/>
        <v>0</v>
      </c>
      <c r="L74" s="294"/>
      <c r="AA74" s="213"/>
    </row>
    <row r="75" spans="1:27" s="212" customFormat="1" ht="18" thickBot="1" x14ac:dyDescent="0.4">
      <c r="A75" s="221">
        <f t="shared" si="3"/>
        <v>36</v>
      </c>
      <c r="B75" s="200">
        <f>VLOOKUP($A75,'Autochange OI'!$E$4:$L$88,2,0)</f>
        <v>0</v>
      </c>
      <c r="C75" s="198">
        <f>VLOOKUP($A75,'Autochange OI'!$E$4:$L$88,3,0)</f>
        <v>0</v>
      </c>
      <c r="D75" s="198">
        <f>VLOOKUP($A75,'Autochange OI'!$E$4:$L$88,4,0)</f>
        <v>0</v>
      </c>
      <c r="E75" s="198">
        <f>VLOOKUP($A75,'Autochange OI'!$E$4:$L$88,5,0)</f>
        <v>0</v>
      </c>
      <c r="F75" s="199">
        <f>VLOOKUP($A75,'Autochange OI'!$E$4:$L$88,6,0)</f>
        <v>0</v>
      </c>
      <c r="G75" s="199">
        <f>VLOOKUP($A75,'Autochange OI'!$E$4:$L$88,7,0)</f>
        <v>0</v>
      </c>
      <c r="H75" s="199">
        <f>VLOOKUP($A75,'Autochange OI'!$E$4:$L$88,8,0)</f>
        <v>0</v>
      </c>
      <c r="I75" s="295">
        <f t="shared" si="6"/>
        <v>0</v>
      </c>
      <c r="J75" s="296"/>
      <c r="K75" s="293">
        <f t="shared" si="7"/>
        <v>0</v>
      </c>
      <c r="L75" s="294"/>
      <c r="AA75" s="213"/>
    </row>
    <row r="76" spans="1:27" s="212" customFormat="1" ht="18" thickBot="1" x14ac:dyDescent="0.4">
      <c r="A76" s="221">
        <f t="shared" si="3"/>
        <v>35</v>
      </c>
      <c r="B76" s="200">
        <f>VLOOKUP($A76,'Autochange OI'!$E$4:$L$88,2,0)</f>
        <v>0</v>
      </c>
      <c r="C76" s="198">
        <f>VLOOKUP($A76,'Autochange OI'!$E$4:$L$88,3,0)</f>
        <v>0</v>
      </c>
      <c r="D76" s="198">
        <f>VLOOKUP($A76,'Autochange OI'!$E$4:$L$88,4,0)</f>
        <v>0</v>
      </c>
      <c r="E76" s="198">
        <f>VLOOKUP($A76,'Autochange OI'!$E$4:$L$88,5,0)</f>
        <v>0</v>
      </c>
      <c r="F76" s="199">
        <f>VLOOKUP($A76,'Autochange OI'!$E$4:$L$88,6,0)</f>
        <v>0</v>
      </c>
      <c r="G76" s="199">
        <f>VLOOKUP($A76,'Autochange OI'!$E$4:$L$88,7,0)</f>
        <v>0</v>
      </c>
      <c r="H76" s="199">
        <f>VLOOKUP($A76,'Autochange OI'!$E$4:$L$88,8,0)</f>
        <v>0</v>
      </c>
      <c r="I76" s="295">
        <f t="shared" si="6"/>
        <v>0</v>
      </c>
      <c r="J76" s="296"/>
      <c r="K76" s="293">
        <f t="shared" si="7"/>
        <v>0</v>
      </c>
      <c r="L76" s="294"/>
      <c r="AA76" s="213"/>
    </row>
    <row r="77" spans="1:27" s="212" customFormat="1" ht="18" thickBot="1" x14ac:dyDescent="0.4">
      <c r="A77" s="221">
        <f t="shared" si="3"/>
        <v>34</v>
      </c>
      <c r="B77" s="200">
        <f>VLOOKUP($A77,'Autochange OI'!$E$4:$L$88,2,0)</f>
        <v>0</v>
      </c>
      <c r="C77" s="198">
        <f>VLOOKUP($A77,'Autochange OI'!$E$4:$L$88,3,0)</f>
        <v>0</v>
      </c>
      <c r="D77" s="198">
        <f>VLOOKUP($A77,'Autochange OI'!$E$4:$L$88,4,0)</f>
        <v>0</v>
      </c>
      <c r="E77" s="198">
        <f>VLOOKUP($A77,'Autochange OI'!$E$4:$L$88,5,0)</f>
        <v>0</v>
      </c>
      <c r="F77" s="199">
        <f>VLOOKUP($A77,'Autochange OI'!$E$4:$L$88,6,0)</f>
        <v>0</v>
      </c>
      <c r="G77" s="199">
        <f>VLOOKUP($A77,'Autochange OI'!$E$4:$L$88,7,0)</f>
        <v>0</v>
      </c>
      <c r="H77" s="199">
        <f>VLOOKUP($A77,'Autochange OI'!$E$4:$L$88,8,0)</f>
        <v>0</v>
      </c>
      <c r="I77" s="295">
        <f t="shared" si="6"/>
        <v>0</v>
      </c>
      <c r="J77" s="296"/>
      <c r="K77" s="293">
        <f t="shared" si="7"/>
        <v>0</v>
      </c>
      <c r="L77" s="294"/>
      <c r="AA77" s="213"/>
    </row>
    <row r="78" spans="1:27" s="212" customFormat="1" ht="18" thickBot="1" x14ac:dyDescent="0.4">
      <c r="A78" s="221">
        <f t="shared" si="3"/>
        <v>33</v>
      </c>
      <c r="B78" s="200">
        <f>VLOOKUP($A78,'Autochange OI'!$E$4:$L$88,2,0)</f>
        <v>0</v>
      </c>
      <c r="C78" s="198">
        <f>VLOOKUP($A78,'Autochange OI'!$E$4:$L$88,3,0)</f>
        <v>0</v>
      </c>
      <c r="D78" s="198">
        <f>VLOOKUP($A78,'Autochange OI'!$E$4:$L$88,4,0)</f>
        <v>0</v>
      </c>
      <c r="E78" s="198">
        <f>VLOOKUP($A78,'Autochange OI'!$E$4:$L$88,5,0)</f>
        <v>0</v>
      </c>
      <c r="F78" s="199">
        <f>VLOOKUP($A78,'Autochange OI'!$E$4:$L$88,6,0)</f>
        <v>0</v>
      </c>
      <c r="G78" s="199">
        <f>VLOOKUP($A78,'Autochange OI'!$E$4:$L$88,7,0)</f>
        <v>0</v>
      </c>
      <c r="H78" s="199">
        <f>VLOOKUP($A78,'Autochange OI'!$E$4:$L$88,8,0)</f>
        <v>0</v>
      </c>
      <c r="I78" s="295">
        <f t="shared" si="6"/>
        <v>0</v>
      </c>
      <c r="J78" s="296"/>
      <c r="K78" s="293">
        <f t="shared" si="7"/>
        <v>0</v>
      </c>
      <c r="L78" s="294"/>
      <c r="AA78" s="213"/>
    </row>
    <row r="79" spans="1:27" s="212" customFormat="1" ht="18" thickBot="1" x14ac:dyDescent="0.4">
      <c r="A79" s="221">
        <f t="shared" si="3"/>
        <v>32</v>
      </c>
      <c r="B79" s="200">
        <f>VLOOKUP($A79,'Autochange OI'!$E$4:$L$88,2,0)</f>
        <v>0</v>
      </c>
      <c r="C79" s="198">
        <f>VLOOKUP($A79,'Autochange OI'!$E$4:$L$88,3,0)</f>
        <v>0</v>
      </c>
      <c r="D79" s="198">
        <f>VLOOKUP($A79,'Autochange OI'!$E$4:$L$88,4,0)</f>
        <v>0</v>
      </c>
      <c r="E79" s="198">
        <f>VLOOKUP($A79,'Autochange OI'!$E$4:$L$88,5,0)</f>
        <v>0</v>
      </c>
      <c r="F79" s="199">
        <f>VLOOKUP($A79,'Autochange OI'!$E$4:$L$88,6,0)</f>
        <v>0</v>
      </c>
      <c r="G79" s="199">
        <f>VLOOKUP($A79,'Autochange OI'!$E$4:$L$88,7,0)</f>
        <v>0</v>
      </c>
      <c r="H79" s="199">
        <f>VLOOKUP($A79,'Autochange OI'!$E$4:$L$88,8,0)</f>
        <v>0</v>
      </c>
      <c r="I79" s="295">
        <f t="shared" si="6"/>
        <v>0</v>
      </c>
      <c r="J79" s="296"/>
      <c r="K79" s="293">
        <f t="shared" si="7"/>
        <v>0</v>
      </c>
      <c r="L79" s="294"/>
      <c r="AA79" s="213"/>
    </row>
    <row r="80" spans="1:27" s="212" customFormat="1" ht="18" thickBot="1" x14ac:dyDescent="0.4">
      <c r="A80" s="221">
        <f t="shared" si="3"/>
        <v>31</v>
      </c>
      <c r="B80" s="200">
        <f>VLOOKUP($A80,'Autochange OI'!$E$4:$L$88,2,0)</f>
        <v>0</v>
      </c>
      <c r="C80" s="198">
        <f>VLOOKUP($A80,'Autochange OI'!$E$4:$L$88,3,0)</f>
        <v>0</v>
      </c>
      <c r="D80" s="198">
        <f>VLOOKUP($A80,'Autochange OI'!$E$4:$L$88,4,0)</f>
        <v>0</v>
      </c>
      <c r="E80" s="198">
        <f>VLOOKUP($A80,'Autochange OI'!$E$4:$L$88,5,0)</f>
        <v>0</v>
      </c>
      <c r="F80" s="199">
        <f>VLOOKUP($A80,'Autochange OI'!$E$4:$L$88,6,0)</f>
        <v>0</v>
      </c>
      <c r="G80" s="199">
        <f>VLOOKUP($A80,'Autochange OI'!$E$4:$L$88,7,0)</f>
        <v>0</v>
      </c>
      <c r="H80" s="199">
        <f>VLOOKUP($A80,'Autochange OI'!$E$4:$L$88,8,0)</f>
        <v>0</v>
      </c>
      <c r="I80" s="295">
        <f t="shared" si="6"/>
        <v>0</v>
      </c>
      <c r="J80" s="296"/>
      <c r="K80" s="293">
        <f t="shared" si="7"/>
        <v>0</v>
      </c>
      <c r="L80" s="294"/>
      <c r="AA80" s="213"/>
    </row>
    <row r="81" spans="1:27" s="212" customFormat="1" ht="18" thickBot="1" x14ac:dyDescent="0.4">
      <c r="A81" s="221">
        <f t="shared" si="3"/>
        <v>30</v>
      </c>
      <c r="B81" s="200">
        <f>VLOOKUP($A81,'Autochange OI'!$E$4:$L$88,2,0)</f>
        <v>0</v>
      </c>
      <c r="C81" s="198">
        <f>VLOOKUP($A81,'Autochange OI'!$E$4:$L$88,3,0)</f>
        <v>0</v>
      </c>
      <c r="D81" s="198">
        <f>VLOOKUP($A81,'Autochange OI'!$E$4:$L$88,4,0)</f>
        <v>0</v>
      </c>
      <c r="E81" s="198">
        <f>VLOOKUP($A81,'Autochange OI'!$E$4:$L$88,5,0)</f>
        <v>0</v>
      </c>
      <c r="F81" s="199">
        <f>VLOOKUP($A81,'Autochange OI'!$E$4:$L$88,6,0)</f>
        <v>0</v>
      </c>
      <c r="G81" s="199">
        <f>VLOOKUP($A81,'Autochange OI'!$E$4:$L$88,7,0)</f>
        <v>0</v>
      </c>
      <c r="H81" s="199">
        <f>VLOOKUP($A81,'Autochange OI'!$E$4:$L$88,8,0)</f>
        <v>0</v>
      </c>
      <c r="I81" s="295">
        <f t="shared" si="6"/>
        <v>0</v>
      </c>
      <c r="J81" s="296"/>
      <c r="K81" s="293">
        <f t="shared" si="7"/>
        <v>0</v>
      </c>
      <c r="L81" s="294"/>
      <c r="AA81" s="213"/>
    </row>
    <row r="82" spans="1:27" s="212" customFormat="1" ht="18" thickBot="1" x14ac:dyDescent="0.4">
      <c r="A82" s="221">
        <f t="shared" si="3"/>
        <v>29</v>
      </c>
      <c r="B82" s="200">
        <f>VLOOKUP($A82,'Autochange OI'!$E$4:$L$88,2,0)</f>
        <v>0</v>
      </c>
      <c r="C82" s="198">
        <f>VLOOKUP($A82,'Autochange OI'!$E$4:$L$88,3,0)</f>
        <v>0</v>
      </c>
      <c r="D82" s="198">
        <f>VLOOKUP($A82,'Autochange OI'!$E$4:$L$88,4,0)</f>
        <v>0</v>
      </c>
      <c r="E82" s="198">
        <f>VLOOKUP($A82,'Autochange OI'!$E$4:$L$88,5,0)</f>
        <v>0</v>
      </c>
      <c r="F82" s="199">
        <f>VLOOKUP($A82,'Autochange OI'!$E$4:$L$88,6,0)</f>
        <v>0</v>
      </c>
      <c r="G82" s="199">
        <f>VLOOKUP($A82,'Autochange OI'!$E$4:$L$88,7,0)</f>
        <v>0</v>
      </c>
      <c r="H82" s="199">
        <f>VLOOKUP($A82,'Autochange OI'!$E$4:$L$88,8,0)</f>
        <v>0</v>
      </c>
      <c r="I82" s="295">
        <f t="shared" si="6"/>
        <v>0</v>
      </c>
      <c r="J82" s="296"/>
      <c r="K82" s="293">
        <f t="shared" si="7"/>
        <v>0</v>
      </c>
      <c r="L82" s="294"/>
      <c r="AA82" s="213"/>
    </row>
    <row r="83" spans="1:27" s="212" customFormat="1" ht="18" thickBot="1" x14ac:dyDescent="0.4">
      <c r="A83" s="221">
        <f t="shared" si="3"/>
        <v>28</v>
      </c>
      <c r="B83" s="200">
        <f>VLOOKUP($A83,'Autochange OI'!$E$4:$L$88,2,0)</f>
        <v>0</v>
      </c>
      <c r="C83" s="198">
        <f>VLOOKUP($A83,'Autochange OI'!$E$4:$L$88,3,0)</f>
        <v>0</v>
      </c>
      <c r="D83" s="198">
        <f>VLOOKUP($A83,'Autochange OI'!$E$4:$L$88,4,0)</f>
        <v>0</v>
      </c>
      <c r="E83" s="198">
        <f>VLOOKUP($A83,'Autochange OI'!$E$4:$L$88,5,0)</f>
        <v>0</v>
      </c>
      <c r="F83" s="199">
        <f>VLOOKUP($A83,'Autochange OI'!$E$4:$L$88,6,0)</f>
        <v>0</v>
      </c>
      <c r="G83" s="199">
        <f>VLOOKUP($A83,'Autochange OI'!$E$4:$L$88,7,0)</f>
        <v>0</v>
      </c>
      <c r="H83" s="199">
        <f>VLOOKUP($A83,'Autochange OI'!$E$4:$L$88,8,0)</f>
        <v>0</v>
      </c>
      <c r="I83" s="295">
        <f t="shared" si="6"/>
        <v>0</v>
      </c>
      <c r="J83" s="296"/>
      <c r="K83" s="293">
        <f t="shared" si="7"/>
        <v>0</v>
      </c>
      <c r="L83" s="294"/>
      <c r="AA83" s="213"/>
    </row>
    <row r="84" spans="1:27" s="212" customFormat="1" ht="18" thickBot="1" x14ac:dyDescent="0.4">
      <c r="A84" s="221">
        <f t="shared" si="3"/>
        <v>27</v>
      </c>
      <c r="B84" s="200">
        <f>VLOOKUP($A84,'Autochange OI'!$E$4:$L$88,2,0)</f>
        <v>0</v>
      </c>
      <c r="C84" s="198">
        <f>VLOOKUP($A84,'Autochange OI'!$E$4:$L$88,3,0)</f>
        <v>0</v>
      </c>
      <c r="D84" s="198">
        <f>VLOOKUP($A84,'Autochange OI'!$E$4:$L$88,4,0)</f>
        <v>0</v>
      </c>
      <c r="E84" s="198">
        <f>VLOOKUP($A84,'Autochange OI'!$E$4:$L$88,5,0)</f>
        <v>0</v>
      </c>
      <c r="F84" s="199">
        <f>VLOOKUP($A84,'Autochange OI'!$E$4:$L$88,6,0)</f>
        <v>0</v>
      </c>
      <c r="G84" s="199">
        <f>VLOOKUP($A84,'Autochange OI'!$E$4:$L$88,7,0)</f>
        <v>0</v>
      </c>
      <c r="H84" s="199">
        <f>VLOOKUP($A84,'Autochange OI'!$E$4:$L$88,8,0)</f>
        <v>0</v>
      </c>
      <c r="I84" s="295">
        <f t="shared" si="6"/>
        <v>0</v>
      </c>
      <c r="J84" s="296"/>
      <c r="K84" s="293">
        <f t="shared" si="7"/>
        <v>0</v>
      </c>
      <c r="L84" s="294"/>
      <c r="AA84" s="213"/>
    </row>
    <row r="85" spans="1:27" s="212" customFormat="1" ht="18" thickBot="1" x14ac:dyDescent="0.4">
      <c r="A85" s="221">
        <f t="shared" si="3"/>
        <v>26</v>
      </c>
      <c r="B85" s="200">
        <f>VLOOKUP($A85,'Autochange OI'!$E$4:$L$88,2,0)</f>
        <v>0</v>
      </c>
      <c r="C85" s="198">
        <f>VLOOKUP($A85,'Autochange OI'!$E$4:$L$88,3,0)</f>
        <v>0</v>
      </c>
      <c r="D85" s="198">
        <f>VLOOKUP($A85,'Autochange OI'!$E$4:$L$88,4,0)</f>
        <v>0</v>
      </c>
      <c r="E85" s="198">
        <f>VLOOKUP($A85,'Autochange OI'!$E$4:$L$88,5,0)</f>
        <v>0</v>
      </c>
      <c r="F85" s="199">
        <f>VLOOKUP($A85,'Autochange OI'!$E$4:$L$88,6,0)</f>
        <v>0</v>
      </c>
      <c r="G85" s="199">
        <f>VLOOKUP($A85,'Autochange OI'!$E$4:$L$88,7,0)</f>
        <v>0</v>
      </c>
      <c r="H85" s="199">
        <f>VLOOKUP($A85,'Autochange OI'!$E$4:$L$88,8,0)</f>
        <v>0</v>
      </c>
      <c r="I85" s="295">
        <f t="shared" si="6"/>
        <v>0</v>
      </c>
      <c r="J85" s="296"/>
      <c r="K85" s="293">
        <f t="shared" si="7"/>
        <v>0</v>
      </c>
      <c r="L85" s="294"/>
      <c r="AA85" s="213"/>
    </row>
    <row r="86" spans="1:27" ht="18" thickBot="1" x14ac:dyDescent="0.4">
      <c r="A86" s="221">
        <f t="shared" si="3"/>
        <v>25</v>
      </c>
      <c r="B86" s="200">
        <f>VLOOKUP($A86,'Autochange OI'!$E$4:$L$88,2,0)</f>
        <v>0</v>
      </c>
      <c r="C86" s="198">
        <f>VLOOKUP($A86,'Autochange OI'!$E$4:$L$88,3,0)</f>
        <v>0</v>
      </c>
      <c r="D86" s="198">
        <f>VLOOKUP($A86,'Autochange OI'!$E$4:$L$88,4,0)</f>
        <v>0</v>
      </c>
      <c r="E86" s="198">
        <f>VLOOKUP($A86,'Autochange OI'!$E$4:$L$88,5,0)</f>
        <v>0</v>
      </c>
      <c r="F86" s="199">
        <f>VLOOKUP($A86,'Autochange OI'!$E$4:$L$88,6,0)</f>
        <v>0</v>
      </c>
      <c r="G86" s="199">
        <f>VLOOKUP($A86,'Autochange OI'!$E$4:$L$88,7,0)</f>
        <v>0</v>
      </c>
      <c r="H86" s="199">
        <f>VLOOKUP($A86,'Autochange OI'!$E$4:$L$88,8,0)</f>
        <v>0</v>
      </c>
      <c r="I86" s="295">
        <f t="shared" si="6"/>
        <v>0</v>
      </c>
      <c r="J86" s="296"/>
      <c r="K86" s="293">
        <f t="shared" si="7"/>
        <v>0</v>
      </c>
      <c r="L86" s="294"/>
      <c r="AA86" s="213"/>
    </row>
    <row r="87" spans="1:27" ht="18" thickBot="1" x14ac:dyDescent="0.4">
      <c r="A87" s="221">
        <f t="shared" si="3"/>
        <v>24</v>
      </c>
      <c r="B87" s="200">
        <f>VLOOKUP($A87,'Autochange OI'!$E$4:$L$88,2,0)</f>
        <v>0</v>
      </c>
      <c r="C87" s="198">
        <f>VLOOKUP($A87,'Autochange OI'!$E$4:$L$88,3,0)</f>
        <v>0</v>
      </c>
      <c r="D87" s="198">
        <f>VLOOKUP($A87,'Autochange OI'!$E$4:$L$88,4,0)</f>
        <v>0</v>
      </c>
      <c r="E87" s="198">
        <f>VLOOKUP($A87,'Autochange OI'!$E$4:$L$88,5,0)</f>
        <v>0</v>
      </c>
      <c r="F87" s="199">
        <f>VLOOKUP($A87,'Autochange OI'!$E$4:$L$88,6,0)</f>
        <v>0</v>
      </c>
      <c r="G87" s="199">
        <f>VLOOKUP($A87,'Autochange OI'!$E$4:$L$88,7,0)</f>
        <v>0</v>
      </c>
      <c r="H87" s="199">
        <f>VLOOKUP($A87,'Autochange OI'!$E$4:$L$88,8,0)</f>
        <v>0</v>
      </c>
      <c r="I87" s="295">
        <f t="shared" si="6"/>
        <v>0</v>
      </c>
      <c r="J87" s="296"/>
      <c r="K87" s="293">
        <f t="shared" si="7"/>
        <v>0</v>
      </c>
      <c r="L87" s="294"/>
      <c r="AA87" s="213"/>
    </row>
    <row r="88" spans="1:27" ht="14.4" customHeight="1" thickBot="1" x14ac:dyDescent="0.4">
      <c r="A88" s="221">
        <f t="shared" si="3"/>
        <v>23</v>
      </c>
      <c r="B88" s="200">
        <f>VLOOKUP($A88,'Autochange OI'!$E$4:$L$88,2,0)</f>
        <v>0</v>
      </c>
      <c r="C88" s="198">
        <f>VLOOKUP($A88,'Autochange OI'!$E$4:$L$88,3,0)</f>
        <v>0</v>
      </c>
      <c r="D88" s="198">
        <f>VLOOKUP($A88,'Autochange OI'!$E$4:$L$88,4,0)</f>
        <v>0</v>
      </c>
      <c r="E88" s="198">
        <f>VLOOKUP($A88,'Autochange OI'!$E$4:$L$88,5,0)</f>
        <v>0</v>
      </c>
      <c r="F88" s="199">
        <f>VLOOKUP($A88,'Autochange OI'!$E$4:$L$88,6,0)</f>
        <v>0</v>
      </c>
      <c r="G88" s="199">
        <f>VLOOKUP($A88,'Autochange OI'!$E$4:$L$88,7,0)</f>
        <v>0</v>
      </c>
      <c r="H88" s="199">
        <f>VLOOKUP($A88,'Autochange OI'!$E$4:$L$88,8,0)</f>
        <v>0</v>
      </c>
      <c r="I88" s="295">
        <f t="shared" si="6"/>
        <v>0</v>
      </c>
      <c r="J88" s="296"/>
      <c r="K88" s="293">
        <f t="shared" si="7"/>
        <v>0</v>
      </c>
      <c r="L88" s="294"/>
      <c r="Q88" s="201"/>
      <c r="R88" s="201"/>
      <c r="S88" s="201"/>
      <c r="T88" s="201"/>
      <c r="U88" s="201"/>
      <c r="V88" s="201"/>
      <c r="AA88" s="213"/>
    </row>
    <row r="89" spans="1:27" ht="18" thickBot="1" x14ac:dyDescent="0.4">
      <c r="A89" s="221">
        <f t="shared" si="3"/>
        <v>22</v>
      </c>
      <c r="B89" s="200">
        <f>VLOOKUP($A89,'Autochange OI'!$E$4:$L$88,2,0)</f>
        <v>0</v>
      </c>
      <c r="C89" s="198">
        <f>VLOOKUP($A89,'Autochange OI'!$E$4:$L$88,3,0)</f>
        <v>0</v>
      </c>
      <c r="D89" s="198">
        <f>VLOOKUP($A89,'Autochange OI'!$E$4:$L$88,4,0)</f>
        <v>0</v>
      </c>
      <c r="E89" s="198">
        <f>VLOOKUP($A89,'Autochange OI'!$E$4:$L$88,5,0)</f>
        <v>0</v>
      </c>
      <c r="F89" s="199">
        <f>VLOOKUP($A89,'Autochange OI'!$E$4:$L$88,6,0)</f>
        <v>0</v>
      </c>
      <c r="G89" s="199">
        <f>VLOOKUP($A89,'Autochange OI'!$E$4:$L$88,7,0)</f>
        <v>0</v>
      </c>
      <c r="H89" s="199">
        <f>VLOOKUP($A89,'Autochange OI'!$E$4:$L$88,8,0)</f>
        <v>0</v>
      </c>
      <c r="I89" s="295">
        <f t="shared" si="6"/>
        <v>0</v>
      </c>
      <c r="J89" s="296"/>
      <c r="K89" s="293">
        <f t="shared" si="7"/>
        <v>0</v>
      </c>
      <c r="L89" s="294"/>
      <c r="Q89" s="201"/>
      <c r="R89" s="201"/>
      <c r="S89" s="201"/>
      <c r="T89" s="201"/>
      <c r="U89" s="201"/>
      <c r="V89" s="201"/>
      <c r="AA89" s="213"/>
    </row>
    <row r="90" spans="1:27" ht="18" thickBot="1" x14ac:dyDescent="0.4">
      <c r="A90" s="221">
        <f t="shared" si="3"/>
        <v>21</v>
      </c>
      <c r="B90" s="200">
        <f>VLOOKUP($A90,'Autochange OI'!$E$4:$L$88,2,0)</f>
        <v>0</v>
      </c>
      <c r="C90" s="198">
        <f>VLOOKUP($A90,'Autochange OI'!$E$4:$L$88,3,0)</f>
        <v>0</v>
      </c>
      <c r="D90" s="198">
        <f>VLOOKUP($A90,'Autochange OI'!$E$4:$L$88,4,0)</f>
        <v>0</v>
      </c>
      <c r="E90" s="198">
        <f>VLOOKUP($A90,'Autochange OI'!$E$4:$L$88,5,0)</f>
        <v>0</v>
      </c>
      <c r="F90" s="199">
        <f>VLOOKUP($A90,'Autochange OI'!$E$4:$L$88,6,0)</f>
        <v>0</v>
      </c>
      <c r="G90" s="199">
        <f>VLOOKUP($A90,'Autochange OI'!$E$4:$L$88,7,0)</f>
        <v>0</v>
      </c>
      <c r="H90" s="199">
        <f>VLOOKUP($A90,'Autochange OI'!$E$4:$L$88,8,0)</f>
        <v>0</v>
      </c>
      <c r="I90" s="295">
        <f t="shared" si="6"/>
        <v>0</v>
      </c>
      <c r="J90" s="296"/>
      <c r="K90" s="293">
        <f t="shared" si="7"/>
        <v>0</v>
      </c>
      <c r="L90" s="294"/>
      <c r="Q90" s="201"/>
      <c r="R90" s="201"/>
      <c r="S90" s="201"/>
      <c r="T90" s="201"/>
      <c r="U90" s="201"/>
      <c r="V90" s="201"/>
      <c r="AA90" s="213"/>
    </row>
    <row r="91" spans="1:27" ht="18" thickBot="1" x14ac:dyDescent="0.4">
      <c r="A91" s="221">
        <f t="shared" ref="A91:A110" si="8">86-ROW($A66)</f>
        <v>20</v>
      </c>
      <c r="B91" s="200">
        <f>VLOOKUP($A91,'Autochange OI'!$E$4:$L$88,2,0)</f>
        <v>0</v>
      </c>
      <c r="C91" s="198">
        <f>VLOOKUP($A91,'Autochange OI'!$E$4:$L$88,3,0)</f>
        <v>0</v>
      </c>
      <c r="D91" s="198">
        <f>VLOOKUP($A91,'Autochange OI'!$E$4:$L$88,4,0)</f>
        <v>0</v>
      </c>
      <c r="E91" s="198">
        <f>VLOOKUP($A91,'Autochange OI'!$E$4:$L$88,5,0)</f>
        <v>0</v>
      </c>
      <c r="F91" s="199">
        <f>VLOOKUP($A91,'Autochange OI'!$E$4:$L$88,6,0)</f>
        <v>0</v>
      </c>
      <c r="G91" s="199">
        <f>VLOOKUP($A91,'Autochange OI'!$E$4:$L$88,7,0)</f>
        <v>0</v>
      </c>
      <c r="H91" s="199">
        <f>VLOOKUP($A91,'Autochange OI'!$E$4:$L$88,8,0)</f>
        <v>0</v>
      </c>
      <c r="I91" s="295">
        <f t="shared" si="6"/>
        <v>0</v>
      </c>
      <c r="J91" s="296"/>
      <c r="K91" s="293">
        <f t="shared" si="7"/>
        <v>0</v>
      </c>
      <c r="L91" s="294"/>
      <c r="Q91" s="201"/>
      <c r="R91" s="201"/>
      <c r="S91" s="201"/>
      <c r="T91" s="201"/>
      <c r="U91" s="201"/>
      <c r="V91" s="201"/>
      <c r="AA91" s="213"/>
    </row>
    <row r="92" spans="1:27" ht="18" thickBot="1" x14ac:dyDescent="0.4">
      <c r="A92" s="221">
        <f t="shared" si="8"/>
        <v>19</v>
      </c>
      <c r="B92" s="200">
        <f>VLOOKUP($A92,'Autochange OI'!$E$4:$L$88,2,0)</f>
        <v>0</v>
      </c>
      <c r="C92" s="198">
        <f>VLOOKUP($A92,'Autochange OI'!$E$4:$L$88,3,0)</f>
        <v>0</v>
      </c>
      <c r="D92" s="198">
        <f>VLOOKUP($A92,'Autochange OI'!$E$4:$L$88,4,0)</f>
        <v>0</v>
      </c>
      <c r="E92" s="198">
        <f>VLOOKUP($A92,'Autochange OI'!$E$4:$L$88,5,0)</f>
        <v>0</v>
      </c>
      <c r="F92" s="199">
        <f>VLOOKUP($A92,'Autochange OI'!$E$4:$L$88,6,0)</f>
        <v>0</v>
      </c>
      <c r="G92" s="199">
        <f>VLOOKUP($A92,'Autochange OI'!$E$4:$L$88,7,0)</f>
        <v>0</v>
      </c>
      <c r="H92" s="199">
        <f>VLOOKUP($A92,'Autochange OI'!$E$4:$L$88,8,0)</f>
        <v>0</v>
      </c>
      <c r="I92" s="295">
        <f t="shared" si="6"/>
        <v>0</v>
      </c>
      <c r="J92" s="296"/>
      <c r="K92" s="293">
        <f t="shared" si="7"/>
        <v>0</v>
      </c>
      <c r="L92" s="294"/>
      <c r="M92" s="201"/>
      <c r="N92" s="201"/>
      <c r="O92" s="201"/>
      <c r="P92" s="201"/>
      <c r="Q92" s="201"/>
      <c r="R92" s="201"/>
      <c r="S92" s="201"/>
      <c r="T92" s="201"/>
      <c r="U92" s="201"/>
      <c r="V92" s="201"/>
      <c r="AA92" s="213"/>
    </row>
    <row r="93" spans="1:27" ht="18" thickBot="1" x14ac:dyDescent="0.4">
      <c r="A93" s="221">
        <f t="shared" si="8"/>
        <v>18</v>
      </c>
      <c r="B93" s="200">
        <f>VLOOKUP($A93,'Autochange OI'!$E$4:$L$88,2,0)</f>
        <v>0</v>
      </c>
      <c r="C93" s="198">
        <f>VLOOKUP($A93,'Autochange OI'!$E$4:$L$88,3,0)</f>
        <v>0</v>
      </c>
      <c r="D93" s="198">
        <f>VLOOKUP($A93,'Autochange OI'!$E$4:$L$88,4,0)</f>
        <v>0</v>
      </c>
      <c r="E93" s="198">
        <f>VLOOKUP($A93,'Autochange OI'!$E$4:$L$88,5,0)</f>
        <v>0</v>
      </c>
      <c r="F93" s="199">
        <f>VLOOKUP($A93,'Autochange OI'!$E$4:$L$88,6,0)</f>
        <v>0</v>
      </c>
      <c r="G93" s="199">
        <f>VLOOKUP($A93,'Autochange OI'!$E$4:$L$88,7,0)</f>
        <v>0</v>
      </c>
      <c r="H93" s="199">
        <f>VLOOKUP($A93,'Autochange OI'!$E$4:$L$88,8,0)</f>
        <v>0</v>
      </c>
      <c r="I93" s="295">
        <f t="shared" si="6"/>
        <v>0</v>
      </c>
      <c r="J93" s="296"/>
      <c r="K93" s="293">
        <f t="shared" si="7"/>
        <v>0</v>
      </c>
      <c r="L93" s="294"/>
      <c r="M93" s="201"/>
      <c r="N93" s="201"/>
      <c r="O93" s="201"/>
      <c r="P93" s="201"/>
      <c r="Q93" s="201"/>
      <c r="R93" s="201"/>
      <c r="S93" s="201"/>
      <c r="T93" s="201"/>
      <c r="U93" s="201"/>
      <c r="V93" s="201"/>
      <c r="AA93" s="213"/>
    </row>
    <row r="94" spans="1:27" ht="18" thickBot="1" x14ac:dyDescent="0.4">
      <c r="A94" s="221">
        <f t="shared" si="8"/>
        <v>17</v>
      </c>
      <c r="B94" s="200">
        <f>VLOOKUP($A94,'Autochange OI'!$E$4:$L$88,2,0)</f>
        <v>0</v>
      </c>
      <c r="C94" s="198">
        <f>VLOOKUP($A94,'Autochange OI'!$E$4:$L$88,3,0)</f>
        <v>0</v>
      </c>
      <c r="D94" s="198">
        <f>VLOOKUP($A94,'Autochange OI'!$E$4:$L$88,4,0)</f>
        <v>0</v>
      </c>
      <c r="E94" s="198">
        <f>VLOOKUP($A94,'Autochange OI'!$E$4:$L$88,5,0)</f>
        <v>0</v>
      </c>
      <c r="F94" s="199">
        <f>VLOOKUP($A94,'Autochange OI'!$E$4:$L$88,6,0)</f>
        <v>0</v>
      </c>
      <c r="G94" s="199">
        <f>VLOOKUP($A94,'Autochange OI'!$E$4:$L$88,7,0)</f>
        <v>0</v>
      </c>
      <c r="H94" s="199">
        <f>VLOOKUP($A94,'Autochange OI'!$E$4:$L$88,8,0)</f>
        <v>0</v>
      </c>
      <c r="I94" s="295">
        <f t="shared" si="6"/>
        <v>0</v>
      </c>
      <c r="J94" s="296"/>
      <c r="K94" s="293">
        <f t="shared" si="7"/>
        <v>0</v>
      </c>
      <c r="L94" s="294"/>
      <c r="M94" s="201"/>
      <c r="N94" s="201"/>
      <c r="O94" s="201"/>
      <c r="P94" s="201"/>
      <c r="Q94" s="201"/>
      <c r="R94" s="201"/>
      <c r="S94" s="201"/>
      <c r="T94" s="201"/>
      <c r="U94" s="201"/>
      <c r="V94" s="201"/>
      <c r="AA94" s="213"/>
    </row>
    <row r="95" spans="1:27" ht="18" thickBot="1" x14ac:dyDescent="0.4">
      <c r="A95" s="221">
        <f t="shared" si="8"/>
        <v>16</v>
      </c>
      <c r="B95" s="200">
        <f>VLOOKUP($A95,'Autochange OI'!$E$4:$L$88,2,0)</f>
        <v>0</v>
      </c>
      <c r="C95" s="198">
        <f>VLOOKUP($A95,'Autochange OI'!$E$4:$L$88,3,0)</f>
        <v>0</v>
      </c>
      <c r="D95" s="198">
        <f>VLOOKUP($A95,'Autochange OI'!$E$4:$L$88,4,0)</f>
        <v>0</v>
      </c>
      <c r="E95" s="198">
        <f>VLOOKUP($A95,'Autochange OI'!$E$4:$L$88,5,0)</f>
        <v>0</v>
      </c>
      <c r="F95" s="199">
        <f>VLOOKUP($A95,'Autochange OI'!$E$4:$L$88,6,0)</f>
        <v>0</v>
      </c>
      <c r="G95" s="199">
        <f>VLOOKUP($A95,'Autochange OI'!$E$4:$L$88,7,0)</f>
        <v>0</v>
      </c>
      <c r="H95" s="199">
        <f>VLOOKUP($A95,'Autochange OI'!$E$4:$L$88,8,0)</f>
        <v>0</v>
      </c>
      <c r="I95" s="295">
        <f t="shared" si="6"/>
        <v>0</v>
      </c>
      <c r="J95" s="296"/>
      <c r="K95" s="293">
        <f t="shared" si="7"/>
        <v>0</v>
      </c>
      <c r="L95" s="294"/>
      <c r="M95" s="201"/>
      <c r="N95" s="201"/>
      <c r="O95" s="201"/>
      <c r="P95" s="201"/>
      <c r="Q95" s="201"/>
      <c r="R95" s="201"/>
      <c r="S95" s="201"/>
      <c r="T95" s="201"/>
      <c r="U95" s="201"/>
      <c r="V95" s="201"/>
      <c r="AA95" s="213"/>
    </row>
    <row r="96" spans="1:27" ht="18" thickBot="1" x14ac:dyDescent="0.4">
      <c r="A96" s="221">
        <f t="shared" si="8"/>
        <v>15</v>
      </c>
      <c r="B96" s="200">
        <f>VLOOKUP($A96,'Autochange OI'!$E$4:$L$88,2,0)</f>
        <v>0</v>
      </c>
      <c r="C96" s="198">
        <f>VLOOKUP($A96,'Autochange OI'!$E$4:$L$88,3,0)</f>
        <v>0</v>
      </c>
      <c r="D96" s="198">
        <f>VLOOKUP($A96,'Autochange OI'!$E$4:$L$88,4,0)</f>
        <v>0</v>
      </c>
      <c r="E96" s="198">
        <f>VLOOKUP($A96,'Autochange OI'!$E$4:$L$88,5,0)</f>
        <v>0</v>
      </c>
      <c r="F96" s="199">
        <f>VLOOKUP($A96,'Autochange OI'!$E$4:$L$88,6,0)</f>
        <v>0</v>
      </c>
      <c r="G96" s="199">
        <f>VLOOKUP($A96,'Autochange OI'!$E$4:$L$88,7,0)</f>
        <v>0</v>
      </c>
      <c r="H96" s="199">
        <f>VLOOKUP($A96,'Autochange OI'!$E$4:$L$88,8,0)</f>
        <v>0</v>
      </c>
      <c r="I96" s="295">
        <f t="shared" si="6"/>
        <v>0</v>
      </c>
      <c r="J96" s="296"/>
      <c r="K96" s="293">
        <f t="shared" si="7"/>
        <v>0</v>
      </c>
      <c r="L96" s="294"/>
      <c r="AA96" s="213"/>
    </row>
    <row r="97" spans="1:27" ht="18" thickBot="1" x14ac:dyDescent="0.4">
      <c r="A97" s="221">
        <f t="shared" si="8"/>
        <v>14</v>
      </c>
      <c r="B97" s="200">
        <f>VLOOKUP($A97,'Autochange OI'!$E$4:$L$88,2,0)</f>
        <v>0</v>
      </c>
      <c r="C97" s="198">
        <f>VLOOKUP($A97,'Autochange OI'!$E$4:$L$88,3,0)</f>
        <v>0</v>
      </c>
      <c r="D97" s="198">
        <f>VLOOKUP($A97,'Autochange OI'!$E$4:$L$88,4,0)</f>
        <v>0</v>
      </c>
      <c r="E97" s="198">
        <f>VLOOKUP($A97,'Autochange OI'!$E$4:$L$88,5,0)</f>
        <v>0</v>
      </c>
      <c r="F97" s="199">
        <f>VLOOKUP($A97,'Autochange OI'!$E$4:$L$88,6,0)</f>
        <v>0</v>
      </c>
      <c r="G97" s="199">
        <f>VLOOKUP($A97,'Autochange OI'!$E$4:$L$88,7,0)</f>
        <v>0</v>
      </c>
      <c r="H97" s="199">
        <f>VLOOKUP($A97,'Autochange OI'!$E$4:$L$88,8,0)</f>
        <v>0</v>
      </c>
      <c r="I97" s="295">
        <f t="shared" si="6"/>
        <v>0</v>
      </c>
      <c r="J97" s="296"/>
      <c r="K97" s="293">
        <f t="shared" si="7"/>
        <v>0</v>
      </c>
      <c r="L97" s="294"/>
      <c r="AA97" s="213"/>
    </row>
    <row r="98" spans="1:27" ht="18" thickBot="1" x14ac:dyDescent="0.4">
      <c r="A98" s="221">
        <f t="shared" si="8"/>
        <v>13</v>
      </c>
      <c r="B98" s="200">
        <f>VLOOKUP($A98,'Autochange OI'!$E$4:$L$88,2,0)</f>
        <v>0</v>
      </c>
      <c r="C98" s="198">
        <f>VLOOKUP($A98,'Autochange OI'!$E$4:$L$88,3,0)</f>
        <v>0</v>
      </c>
      <c r="D98" s="198">
        <f>VLOOKUP($A98,'Autochange OI'!$E$4:$L$88,4,0)</f>
        <v>0</v>
      </c>
      <c r="E98" s="198">
        <f>VLOOKUP($A98,'Autochange OI'!$E$4:$L$88,5,0)</f>
        <v>0</v>
      </c>
      <c r="F98" s="199">
        <f>VLOOKUP($A98,'Autochange OI'!$E$4:$L$88,6,0)</f>
        <v>0</v>
      </c>
      <c r="G98" s="199">
        <f>VLOOKUP($A98,'Autochange OI'!$E$4:$L$88,7,0)</f>
        <v>0</v>
      </c>
      <c r="H98" s="199">
        <f>VLOOKUP($A98,'Autochange OI'!$E$4:$L$88,8,0)</f>
        <v>0</v>
      </c>
      <c r="I98" s="295">
        <f t="shared" si="6"/>
        <v>0</v>
      </c>
      <c r="J98" s="296"/>
      <c r="K98" s="293">
        <f t="shared" si="7"/>
        <v>0</v>
      </c>
      <c r="L98" s="294"/>
      <c r="AA98" s="213"/>
    </row>
    <row r="99" spans="1:27" ht="18" thickBot="1" x14ac:dyDescent="0.4">
      <c r="A99" s="221">
        <f t="shared" si="8"/>
        <v>12</v>
      </c>
      <c r="B99" s="200">
        <f>VLOOKUP($A99,'Autochange OI'!$E$4:$L$88,2,0)</f>
        <v>0</v>
      </c>
      <c r="C99" s="198">
        <f>VLOOKUP($A99,'Autochange OI'!$E$4:$L$88,3,0)</f>
        <v>0</v>
      </c>
      <c r="D99" s="198">
        <f>VLOOKUP($A99,'Autochange OI'!$E$4:$L$88,4,0)</f>
        <v>0</v>
      </c>
      <c r="E99" s="198">
        <f>VLOOKUP($A99,'Autochange OI'!$E$4:$L$88,5,0)</f>
        <v>0</v>
      </c>
      <c r="F99" s="199">
        <f>VLOOKUP($A99,'Autochange OI'!$E$4:$L$88,6,0)</f>
        <v>0</v>
      </c>
      <c r="G99" s="199">
        <f>VLOOKUP($A99,'Autochange OI'!$E$4:$L$88,7,0)</f>
        <v>0</v>
      </c>
      <c r="H99" s="199">
        <f>VLOOKUP($A99,'Autochange OI'!$E$4:$L$88,8,0)</f>
        <v>0</v>
      </c>
      <c r="I99" s="295">
        <f t="shared" si="6"/>
        <v>0</v>
      </c>
      <c r="J99" s="296"/>
      <c r="K99" s="293">
        <f t="shared" si="7"/>
        <v>0</v>
      </c>
      <c r="L99" s="294"/>
      <c r="AA99" s="213"/>
    </row>
    <row r="100" spans="1:27" ht="18" thickBot="1" x14ac:dyDescent="0.4">
      <c r="A100" s="221">
        <f t="shared" si="8"/>
        <v>11</v>
      </c>
      <c r="B100" s="200">
        <f>VLOOKUP($A100,'Autochange OI'!$E$4:$L$88,2,0)</f>
        <v>0</v>
      </c>
      <c r="C100" s="198">
        <f>VLOOKUP($A100,'Autochange OI'!$E$4:$L$88,3,0)</f>
        <v>0</v>
      </c>
      <c r="D100" s="198">
        <f>VLOOKUP($A100,'Autochange OI'!$E$4:$L$88,4,0)</f>
        <v>0</v>
      </c>
      <c r="E100" s="198">
        <f>VLOOKUP($A100,'Autochange OI'!$E$4:$L$88,5,0)</f>
        <v>0</v>
      </c>
      <c r="F100" s="199">
        <f>VLOOKUP($A100,'Autochange OI'!$E$4:$L$88,6,0)</f>
        <v>0</v>
      </c>
      <c r="G100" s="199">
        <f>VLOOKUP($A100,'Autochange OI'!$E$4:$L$88,7,0)</f>
        <v>0</v>
      </c>
      <c r="H100" s="199">
        <f>VLOOKUP($A100,'Autochange OI'!$E$4:$L$88,8,0)</f>
        <v>0</v>
      </c>
      <c r="I100" s="295">
        <f t="shared" si="6"/>
        <v>0</v>
      </c>
      <c r="J100" s="296"/>
      <c r="K100" s="293">
        <f t="shared" si="7"/>
        <v>0</v>
      </c>
      <c r="L100" s="294"/>
      <c r="AA100" s="213"/>
    </row>
    <row r="101" spans="1:27" ht="18" thickBot="1" x14ac:dyDescent="0.4">
      <c r="A101" s="221">
        <f t="shared" si="8"/>
        <v>10</v>
      </c>
      <c r="B101" s="200">
        <f>VLOOKUP($A101,'Autochange OI'!$E$4:$L$88,2,0)</f>
        <v>0</v>
      </c>
      <c r="C101" s="198">
        <f>VLOOKUP($A101,'Autochange OI'!$E$4:$L$88,3,0)</f>
        <v>0</v>
      </c>
      <c r="D101" s="198">
        <f>VLOOKUP($A101,'Autochange OI'!$E$4:$L$88,4,0)</f>
        <v>0</v>
      </c>
      <c r="E101" s="198">
        <f>VLOOKUP($A101,'Autochange OI'!$E$4:$L$88,5,0)</f>
        <v>0</v>
      </c>
      <c r="F101" s="199">
        <f>VLOOKUP($A101,'Autochange OI'!$E$4:$L$88,6,0)</f>
        <v>0</v>
      </c>
      <c r="G101" s="199">
        <f>VLOOKUP($A101,'Autochange OI'!$E$4:$L$88,7,0)</f>
        <v>0</v>
      </c>
      <c r="H101" s="199">
        <f>VLOOKUP($A101,'Autochange OI'!$E$4:$L$88,8,0)</f>
        <v>0</v>
      </c>
      <c r="I101" s="295">
        <f t="shared" si="6"/>
        <v>0</v>
      </c>
      <c r="J101" s="296"/>
      <c r="K101" s="293">
        <f t="shared" si="7"/>
        <v>0</v>
      </c>
      <c r="L101" s="294"/>
      <c r="AA101" s="213"/>
    </row>
    <row r="102" spans="1:27" ht="18" thickBot="1" x14ac:dyDescent="0.4">
      <c r="A102" s="221">
        <f t="shared" si="8"/>
        <v>9</v>
      </c>
      <c r="B102" s="200">
        <f>VLOOKUP($A102,'Autochange OI'!$E$4:$L$88,2,0)</f>
        <v>0</v>
      </c>
      <c r="C102" s="198">
        <f>VLOOKUP($A102,'Autochange OI'!$E$4:$L$88,3,0)</f>
        <v>0</v>
      </c>
      <c r="D102" s="198">
        <f>VLOOKUP($A102,'Autochange OI'!$E$4:$L$88,4,0)</f>
        <v>0</v>
      </c>
      <c r="E102" s="198">
        <f>VLOOKUP($A102,'Autochange OI'!$E$4:$L$88,5,0)</f>
        <v>0</v>
      </c>
      <c r="F102" s="199">
        <f>VLOOKUP($A102,'Autochange OI'!$E$4:$L$88,6,0)</f>
        <v>0</v>
      </c>
      <c r="G102" s="199">
        <f>VLOOKUP($A102,'Autochange OI'!$E$4:$L$88,7,0)</f>
        <v>0</v>
      </c>
      <c r="H102" s="199">
        <f>VLOOKUP($A102,'Autochange OI'!$E$4:$L$88,8,0)</f>
        <v>0</v>
      </c>
      <c r="I102" s="295">
        <f t="shared" si="6"/>
        <v>0</v>
      </c>
      <c r="J102" s="296"/>
      <c r="K102" s="293">
        <f t="shared" si="7"/>
        <v>0</v>
      </c>
      <c r="L102" s="294"/>
      <c r="AA102" s="213"/>
    </row>
    <row r="103" spans="1:27" ht="18" thickBot="1" x14ac:dyDescent="0.4">
      <c r="A103" s="221">
        <f t="shared" si="8"/>
        <v>8</v>
      </c>
      <c r="B103" s="200">
        <f>VLOOKUP($A103,'Autochange OI'!$E$4:$L$88,2,0)</f>
        <v>0</v>
      </c>
      <c r="C103" s="198">
        <f>VLOOKUP($A103,'Autochange OI'!$E$4:$L$88,3,0)</f>
        <v>0</v>
      </c>
      <c r="D103" s="198">
        <f>VLOOKUP($A103,'Autochange OI'!$E$4:$L$88,4,0)</f>
        <v>0</v>
      </c>
      <c r="E103" s="198">
        <f>VLOOKUP($A103,'Autochange OI'!$E$4:$L$88,5,0)</f>
        <v>0</v>
      </c>
      <c r="F103" s="199">
        <f>VLOOKUP($A103,'Autochange OI'!$E$4:$L$88,6,0)</f>
        <v>0</v>
      </c>
      <c r="G103" s="199">
        <f>VLOOKUP($A103,'Autochange OI'!$E$4:$L$88,7,0)</f>
        <v>0</v>
      </c>
      <c r="H103" s="199">
        <f>VLOOKUP($A103,'Autochange OI'!$E$4:$L$88,8,0)</f>
        <v>0</v>
      </c>
      <c r="I103" s="295">
        <f t="shared" si="6"/>
        <v>0</v>
      </c>
      <c r="J103" s="296"/>
      <c r="K103" s="293">
        <f t="shared" si="7"/>
        <v>0</v>
      </c>
      <c r="L103" s="294"/>
      <c r="AA103" s="213"/>
    </row>
    <row r="104" spans="1:27" ht="18" thickBot="1" x14ac:dyDescent="0.4">
      <c r="A104" s="221">
        <f t="shared" si="8"/>
        <v>7</v>
      </c>
      <c r="B104" s="200">
        <f>VLOOKUP($A104,'Autochange OI'!$E$4:$L$88,2,0)</f>
        <v>0</v>
      </c>
      <c r="C104" s="198">
        <f>VLOOKUP($A104,'Autochange OI'!$E$4:$L$88,3,0)</f>
        <v>0</v>
      </c>
      <c r="D104" s="198">
        <f>VLOOKUP($A104,'Autochange OI'!$E$4:$L$88,4,0)</f>
        <v>0</v>
      </c>
      <c r="E104" s="198">
        <f>VLOOKUP($A104,'Autochange OI'!$E$4:$L$88,5,0)</f>
        <v>0</v>
      </c>
      <c r="F104" s="199">
        <f>VLOOKUP($A104,'Autochange OI'!$E$4:$L$88,6,0)</f>
        <v>0</v>
      </c>
      <c r="G104" s="199">
        <f>VLOOKUP($A104,'Autochange OI'!$E$4:$L$88,7,0)</f>
        <v>0</v>
      </c>
      <c r="H104" s="199">
        <f>VLOOKUP($A104,'Autochange OI'!$E$4:$L$88,8,0)</f>
        <v>0</v>
      </c>
      <c r="I104" s="295">
        <f t="shared" si="6"/>
        <v>0</v>
      </c>
      <c r="J104" s="296"/>
      <c r="K104" s="293">
        <f t="shared" si="7"/>
        <v>0</v>
      </c>
      <c r="L104" s="294"/>
      <c r="AA104" s="213"/>
    </row>
    <row r="105" spans="1:27" ht="18" thickBot="1" x14ac:dyDescent="0.4">
      <c r="A105" s="221">
        <f t="shared" si="8"/>
        <v>6</v>
      </c>
      <c r="B105" s="200">
        <f>VLOOKUP($A105,'Autochange OI'!$E$4:$L$88,2,0)</f>
        <v>0</v>
      </c>
      <c r="C105" s="198">
        <f>VLOOKUP($A105,'Autochange OI'!$E$4:$L$88,3,0)</f>
        <v>0</v>
      </c>
      <c r="D105" s="198">
        <f>VLOOKUP($A105,'Autochange OI'!$E$4:$L$88,4,0)</f>
        <v>0</v>
      </c>
      <c r="E105" s="198">
        <f>VLOOKUP($A105,'Autochange OI'!$E$4:$L$88,5,0)</f>
        <v>0</v>
      </c>
      <c r="F105" s="199">
        <f>VLOOKUP($A105,'Autochange OI'!$E$4:$L$88,6,0)</f>
        <v>0</v>
      </c>
      <c r="G105" s="199">
        <f>VLOOKUP($A105,'Autochange OI'!$E$4:$L$88,7,0)</f>
        <v>0</v>
      </c>
      <c r="H105" s="199">
        <f>VLOOKUP($A105,'Autochange OI'!$E$4:$L$88,8,0)</f>
        <v>0</v>
      </c>
      <c r="I105" s="295">
        <f t="shared" si="6"/>
        <v>0</v>
      </c>
      <c r="J105" s="296"/>
      <c r="K105" s="293">
        <f t="shared" si="7"/>
        <v>0</v>
      </c>
      <c r="L105" s="294"/>
      <c r="AA105" s="213"/>
    </row>
    <row r="106" spans="1:27" ht="18" thickBot="1" x14ac:dyDescent="0.4">
      <c r="A106" s="221">
        <f t="shared" si="8"/>
        <v>5</v>
      </c>
      <c r="B106" s="200">
        <f>VLOOKUP($A106,'Autochange OI'!$E$4:$L$88,2,0)</f>
        <v>0</v>
      </c>
      <c r="C106" s="198">
        <f>VLOOKUP($A106,'Autochange OI'!$E$4:$L$88,3,0)</f>
        <v>0</v>
      </c>
      <c r="D106" s="198">
        <f>VLOOKUP($A106,'Autochange OI'!$E$4:$L$88,4,0)</f>
        <v>0</v>
      </c>
      <c r="E106" s="198">
        <f>VLOOKUP($A106,'Autochange OI'!$E$4:$L$88,5,0)</f>
        <v>0</v>
      </c>
      <c r="F106" s="199">
        <f>VLOOKUP($A106,'Autochange OI'!$E$4:$L$88,6,0)</f>
        <v>0</v>
      </c>
      <c r="G106" s="199">
        <f>VLOOKUP($A106,'Autochange OI'!$E$4:$L$88,7,0)</f>
        <v>0</v>
      </c>
      <c r="H106" s="199">
        <f>VLOOKUP($A106,'Autochange OI'!$E$4:$L$88,8,0)</f>
        <v>0</v>
      </c>
      <c r="I106" s="295">
        <f t="shared" si="6"/>
        <v>0</v>
      </c>
      <c r="J106" s="296"/>
      <c r="K106" s="293">
        <f t="shared" si="7"/>
        <v>0</v>
      </c>
      <c r="L106" s="294"/>
      <c r="AA106" s="213"/>
    </row>
    <row r="107" spans="1:27" ht="18" thickBot="1" x14ac:dyDescent="0.4">
      <c r="A107" s="221">
        <f t="shared" si="8"/>
        <v>4</v>
      </c>
      <c r="B107" s="200">
        <f>VLOOKUP($A107,'Autochange OI'!$E$4:$L$88,2,0)</f>
        <v>0</v>
      </c>
      <c r="C107" s="198">
        <f>VLOOKUP($A107,'Autochange OI'!$E$4:$L$88,3,0)</f>
        <v>0</v>
      </c>
      <c r="D107" s="198">
        <f>VLOOKUP($A107,'Autochange OI'!$E$4:$L$88,4,0)</f>
        <v>0</v>
      </c>
      <c r="E107" s="198">
        <f>VLOOKUP($A107,'Autochange OI'!$E$4:$L$88,5,0)</f>
        <v>0</v>
      </c>
      <c r="F107" s="199">
        <f>VLOOKUP($A107,'Autochange OI'!$E$4:$L$88,6,0)</f>
        <v>0</v>
      </c>
      <c r="G107" s="199">
        <f>VLOOKUP($A107,'Autochange OI'!$E$4:$L$88,7,0)</f>
        <v>0</v>
      </c>
      <c r="H107" s="199">
        <f>VLOOKUP($A107,'Autochange OI'!$E$4:$L$88,8,0)</f>
        <v>0</v>
      </c>
      <c r="I107" s="295">
        <f t="shared" si="6"/>
        <v>0</v>
      </c>
      <c r="J107" s="296"/>
      <c r="K107" s="293">
        <f t="shared" si="7"/>
        <v>0</v>
      </c>
      <c r="L107" s="294"/>
      <c r="AA107" s="213"/>
    </row>
    <row r="108" spans="1:27" ht="18" thickBot="1" x14ac:dyDescent="0.4">
      <c r="A108" s="221">
        <f t="shared" si="8"/>
        <v>3</v>
      </c>
      <c r="B108" s="200">
        <f>VLOOKUP($A108,'Autochange OI'!$E$4:$L$88,2,0)</f>
        <v>0</v>
      </c>
      <c r="C108" s="198">
        <f>VLOOKUP($A108,'Autochange OI'!$E$4:$L$88,3,0)</f>
        <v>0</v>
      </c>
      <c r="D108" s="198">
        <f>VLOOKUP($A108,'Autochange OI'!$E$4:$L$88,4,0)</f>
        <v>0</v>
      </c>
      <c r="E108" s="198">
        <f>VLOOKUP($A108,'Autochange OI'!$E$4:$L$88,5,0)</f>
        <v>0</v>
      </c>
      <c r="F108" s="199">
        <f>VLOOKUP($A108,'Autochange OI'!$E$4:$L$88,6,0)</f>
        <v>0</v>
      </c>
      <c r="G108" s="199">
        <f>VLOOKUP($A108,'Autochange OI'!$E$4:$L$88,7,0)</f>
        <v>0</v>
      </c>
      <c r="H108" s="199">
        <f>VLOOKUP($A108,'Autochange OI'!$E$4:$L$88,8,0)</f>
        <v>0</v>
      </c>
      <c r="I108" s="295">
        <f t="shared" si="6"/>
        <v>0</v>
      </c>
      <c r="J108" s="296"/>
      <c r="K108" s="293">
        <f t="shared" si="7"/>
        <v>0</v>
      </c>
      <c r="L108" s="294"/>
      <c r="AA108" s="213"/>
    </row>
    <row r="109" spans="1:27" ht="18" thickBot="1" x14ac:dyDescent="0.4">
      <c r="A109" s="221">
        <f t="shared" si="8"/>
        <v>2</v>
      </c>
      <c r="B109" s="200">
        <f>VLOOKUP($A109,'Autochange OI'!$E$4:$L$88,2,0)</f>
        <v>0</v>
      </c>
      <c r="C109" s="198">
        <f>VLOOKUP($A109,'Autochange OI'!$E$4:$L$88,3,0)</f>
        <v>0</v>
      </c>
      <c r="D109" s="198">
        <f>VLOOKUP($A109,'Autochange OI'!$E$4:$L$88,4,0)</f>
        <v>0</v>
      </c>
      <c r="E109" s="198">
        <f>VLOOKUP($A109,'Autochange OI'!$E$4:$L$88,5,0)</f>
        <v>0</v>
      </c>
      <c r="F109" s="199">
        <f>VLOOKUP($A109,'Autochange OI'!$E$4:$L$88,6,0)</f>
        <v>0</v>
      </c>
      <c r="G109" s="199">
        <f>VLOOKUP($A109,'Autochange OI'!$E$4:$L$88,7,0)</f>
        <v>0</v>
      </c>
      <c r="H109" s="199">
        <f>VLOOKUP($A109,'Autochange OI'!$E$4:$L$88,8,0)</f>
        <v>0</v>
      </c>
      <c r="I109" s="295">
        <f t="shared" ref="I109:I110" si="9">SUM(C109:E109)*75</f>
        <v>0</v>
      </c>
      <c r="J109" s="296"/>
      <c r="K109" s="293">
        <f t="shared" ref="K109:K110" si="10">SUM(F109:H109)*75</f>
        <v>0</v>
      </c>
      <c r="L109" s="294"/>
      <c r="AA109" s="213"/>
    </row>
    <row r="110" spans="1:27" ht="18" thickBot="1" x14ac:dyDescent="0.4">
      <c r="A110" s="221">
        <f t="shared" si="8"/>
        <v>1</v>
      </c>
      <c r="B110" s="215">
        <f>VLOOKUP($A110,'Autochange OI'!$E$4:$L$88,2,0)</f>
        <v>0</v>
      </c>
      <c r="C110" s="216">
        <f>VLOOKUP($A110,'Autochange OI'!$E$4:$L$88,3,0)</f>
        <v>0</v>
      </c>
      <c r="D110" s="216">
        <f>VLOOKUP($A110,'Autochange OI'!$E$4:$L$88,4,0)</f>
        <v>0</v>
      </c>
      <c r="E110" s="216">
        <f>VLOOKUP($A110,'Autochange OI'!$E$4:$L$88,5,0)</f>
        <v>0</v>
      </c>
      <c r="F110" s="217">
        <f>VLOOKUP($A110,'Autochange OI'!$E$4:$L$88,6,0)</f>
        <v>0</v>
      </c>
      <c r="G110" s="217">
        <f>VLOOKUP($A110,'Autochange OI'!$E$4:$L$88,7,0)</f>
        <v>0</v>
      </c>
      <c r="H110" s="217">
        <f>VLOOKUP($A110,'Autochange OI'!$E$4:$L$88,8,0)</f>
        <v>0</v>
      </c>
      <c r="I110" s="404">
        <f t="shared" si="9"/>
        <v>0</v>
      </c>
      <c r="J110" s="405"/>
      <c r="K110" s="406">
        <f t="shared" si="10"/>
        <v>0</v>
      </c>
      <c r="L110" s="407"/>
      <c r="AA110" s="213"/>
    </row>
    <row r="111" spans="1:27" x14ac:dyDescent="0.3">
      <c r="A111" s="56"/>
      <c r="AA111" s="213"/>
    </row>
    <row r="112" spans="1:27" x14ac:dyDescent="0.3">
      <c r="A112" s="56"/>
      <c r="AA112" s="213"/>
    </row>
    <row r="113" spans="1:27" x14ac:dyDescent="0.3">
      <c r="A113" s="56"/>
      <c r="AA113" s="213"/>
    </row>
    <row r="115" spans="1:27" x14ac:dyDescent="0.3">
      <c r="B115" s="309" t="s">
        <v>106</v>
      </c>
      <c r="C115" s="309"/>
      <c r="D115" s="309"/>
      <c r="E115" s="309"/>
      <c r="F115" s="309"/>
      <c r="G115" s="309"/>
      <c r="H115" s="309"/>
      <c r="I115" s="309"/>
      <c r="J115" s="309"/>
      <c r="K115" s="309"/>
      <c r="L115" s="309"/>
      <c r="M115" s="309"/>
      <c r="N115" s="309"/>
      <c r="O115" s="309"/>
      <c r="P115" s="309"/>
    </row>
    <row r="116" spans="1:27" x14ac:dyDescent="0.3">
      <c r="B116" s="309"/>
      <c r="C116" s="309"/>
      <c r="D116" s="309"/>
      <c r="E116" s="309"/>
      <c r="F116" s="309"/>
      <c r="G116" s="309"/>
      <c r="H116" s="309"/>
      <c r="I116" s="309"/>
      <c r="J116" s="309"/>
      <c r="K116" s="309"/>
      <c r="L116" s="309"/>
      <c r="M116" s="309"/>
      <c r="N116" s="309"/>
      <c r="O116" s="309"/>
      <c r="P116" s="309"/>
    </row>
    <row r="117" spans="1:27" x14ac:dyDescent="0.3">
      <c r="B117" s="309"/>
      <c r="C117" s="309"/>
      <c r="D117" s="309"/>
      <c r="E117" s="309"/>
      <c r="F117" s="309"/>
      <c r="G117" s="309"/>
      <c r="H117" s="309"/>
      <c r="I117" s="309"/>
      <c r="J117" s="309"/>
      <c r="K117" s="309"/>
      <c r="L117" s="309"/>
      <c r="M117" s="309"/>
      <c r="N117" s="309"/>
      <c r="O117" s="309"/>
      <c r="P117" s="309"/>
    </row>
    <row r="118" spans="1:27" x14ac:dyDescent="0.3">
      <c r="B118" s="309"/>
      <c r="C118" s="309"/>
      <c r="D118" s="309"/>
      <c r="E118" s="309"/>
      <c r="F118" s="309"/>
      <c r="G118" s="309"/>
      <c r="H118" s="309"/>
      <c r="I118" s="309"/>
      <c r="J118" s="309"/>
      <c r="K118" s="309"/>
      <c r="L118" s="309"/>
      <c r="M118" s="309"/>
      <c r="N118" s="309"/>
      <c r="O118" s="309"/>
      <c r="P118" s="309"/>
    </row>
  </sheetData>
  <mergeCells count="227">
    <mergeCell ref="K106:L106"/>
    <mergeCell ref="K107:L107"/>
    <mergeCell ref="K108:L108"/>
    <mergeCell ref="K109:L109"/>
    <mergeCell ref="K110:L110"/>
    <mergeCell ref="K101:L101"/>
    <mergeCell ref="K102:L102"/>
    <mergeCell ref="K103:L103"/>
    <mergeCell ref="K104:L104"/>
    <mergeCell ref="K105:L105"/>
    <mergeCell ref="K96:L96"/>
    <mergeCell ref="K97:L97"/>
    <mergeCell ref="K98:L98"/>
    <mergeCell ref="K99:L99"/>
    <mergeCell ref="K100:L100"/>
    <mergeCell ref="K91:L91"/>
    <mergeCell ref="K92:L92"/>
    <mergeCell ref="K93:L93"/>
    <mergeCell ref="K94:L94"/>
    <mergeCell ref="K95:L95"/>
    <mergeCell ref="K86:L86"/>
    <mergeCell ref="K87:L87"/>
    <mergeCell ref="K88:L88"/>
    <mergeCell ref="K89:L89"/>
    <mergeCell ref="K90:L90"/>
    <mergeCell ref="K81:L81"/>
    <mergeCell ref="K82:L82"/>
    <mergeCell ref="K83:L83"/>
    <mergeCell ref="K84:L84"/>
    <mergeCell ref="K85:L85"/>
    <mergeCell ref="K76:L76"/>
    <mergeCell ref="K77:L77"/>
    <mergeCell ref="K78:L78"/>
    <mergeCell ref="K79:L79"/>
    <mergeCell ref="K80:L80"/>
    <mergeCell ref="K71:L71"/>
    <mergeCell ref="K72:L72"/>
    <mergeCell ref="K73:L73"/>
    <mergeCell ref="K74:L74"/>
    <mergeCell ref="K75:L75"/>
    <mergeCell ref="K66:L66"/>
    <mergeCell ref="K67:L67"/>
    <mergeCell ref="K68:L68"/>
    <mergeCell ref="K69:L69"/>
    <mergeCell ref="K70:L70"/>
    <mergeCell ref="K61:L61"/>
    <mergeCell ref="K62:L62"/>
    <mergeCell ref="K63:L63"/>
    <mergeCell ref="K64:L64"/>
    <mergeCell ref="K65:L65"/>
    <mergeCell ref="K56:L56"/>
    <mergeCell ref="K57:L57"/>
    <mergeCell ref="K58:L58"/>
    <mergeCell ref="K59:L59"/>
    <mergeCell ref="K60:L60"/>
    <mergeCell ref="K51:L51"/>
    <mergeCell ref="K52:L52"/>
    <mergeCell ref="K53:L53"/>
    <mergeCell ref="K54:L54"/>
    <mergeCell ref="K55:L55"/>
    <mergeCell ref="K46:L46"/>
    <mergeCell ref="K47:L47"/>
    <mergeCell ref="K48:L48"/>
    <mergeCell ref="K49:L49"/>
    <mergeCell ref="K50:L50"/>
    <mergeCell ref="I106:J106"/>
    <mergeCell ref="I107:J107"/>
    <mergeCell ref="I108:J108"/>
    <mergeCell ref="I109:J109"/>
    <mergeCell ref="I91:J91"/>
    <mergeCell ref="I92:J92"/>
    <mergeCell ref="I93:J93"/>
    <mergeCell ref="I94:J94"/>
    <mergeCell ref="I95:J95"/>
    <mergeCell ref="I86:J86"/>
    <mergeCell ref="I87:J87"/>
    <mergeCell ref="I88:J88"/>
    <mergeCell ref="I89:J89"/>
    <mergeCell ref="I90:J90"/>
    <mergeCell ref="I81:J81"/>
    <mergeCell ref="I82:J82"/>
    <mergeCell ref="I83:J83"/>
    <mergeCell ref="I84:J84"/>
    <mergeCell ref="I85:J85"/>
    <mergeCell ref="I110:J110"/>
    <mergeCell ref="I101:J101"/>
    <mergeCell ref="I102:J102"/>
    <mergeCell ref="I103:J103"/>
    <mergeCell ref="I104:J104"/>
    <mergeCell ref="I105:J105"/>
    <mergeCell ref="I96:J96"/>
    <mergeCell ref="I97:J97"/>
    <mergeCell ref="I98:J98"/>
    <mergeCell ref="I99:J99"/>
    <mergeCell ref="I100:J100"/>
    <mergeCell ref="I76:J76"/>
    <mergeCell ref="I77:J77"/>
    <mergeCell ref="I78:J78"/>
    <mergeCell ref="I79:J79"/>
    <mergeCell ref="I80:J80"/>
    <mergeCell ref="I71:J71"/>
    <mergeCell ref="I72:J72"/>
    <mergeCell ref="I73:J73"/>
    <mergeCell ref="I74:J74"/>
    <mergeCell ref="I75:J75"/>
    <mergeCell ref="I66:J66"/>
    <mergeCell ref="I67:J67"/>
    <mergeCell ref="I68:J68"/>
    <mergeCell ref="I69:J69"/>
    <mergeCell ref="I70:J70"/>
    <mergeCell ref="I61:J61"/>
    <mergeCell ref="I62:J62"/>
    <mergeCell ref="I63:J63"/>
    <mergeCell ref="I64:J64"/>
    <mergeCell ref="I65:J65"/>
    <mergeCell ref="I56:J56"/>
    <mergeCell ref="I57:J57"/>
    <mergeCell ref="I58:J58"/>
    <mergeCell ref="I59:J59"/>
    <mergeCell ref="I60:J60"/>
    <mergeCell ref="I51:J51"/>
    <mergeCell ref="I52:J52"/>
    <mergeCell ref="I53:J53"/>
    <mergeCell ref="I54:J54"/>
    <mergeCell ref="I55:J55"/>
    <mergeCell ref="I46:J46"/>
    <mergeCell ref="I47:J47"/>
    <mergeCell ref="I48:J48"/>
    <mergeCell ref="I49:J49"/>
    <mergeCell ref="I50:J50"/>
    <mergeCell ref="B22:C22"/>
    <mergeCell ref="D22:E22"/>
    <mergeCell ref="F22:G22"/>
    <mergeCell ref="D17:E18"/>
    <mergeCell ref="F17:G18"/>
    <mergeCell ref="B18:B19"/>
    <mergeCell ref="D21:E21"/>
    <mergeCell ref="F19:G19"/>
    <mergeCell ref="F20:G20"/>
    <mergeCell ref="F21:G21"/>
    <mergeCell ref="C17:C18"/>
    <mergeCell ref="D19:E19"/>
    <mergeCell ref="D20:E20"/>
    <mergeCell ref="I35:J35"/>
    <mergeCell ref="I36:J36"/>
    <mergeCell ref="C24:E24"/>
    <mergeCell ref="F24:H24"/>
    <mergeCell ref="I26:J26"/>
    <mergeCell ref="I27:J27"/>
    <mergeCell ref="M13:P14"/>
    <mergeCell ref="K10:L10"/>
    <mergeCell ref="M10:P10"/>
    <mergeCell ref="M11:N11"/>
    <mergeCell ref="M12:N12"/>
    <mergeCell ref="O11:P11"/>
    <mergeCell ref="O12:P12"/>
    <mergeCell ref="N3:P3"/>
    <mergeCell ref="B6:C6"/>
    <mergeCell ref="D6:G6"/>
    <mergeCell ref="D3:E3"/>
    <mergeCell ref="D4:E4"/>
    <mergeCell ref="F3:H3"/>
    <mergeCell ref="F4:I4"/>
    <mergeCell ref="J3:L3"/>
    <mergeCell ref="J4:L4"/>
    <mergeCell ref="B13:B14"/>
    <mergeCell ref="G11:H11"/>
    <mergeCell ref="G12:H12"/>
    <mergeCell ref="I10:J10"/>
    <mergeCell ref="I1:L1"/>
    <mergeCell ref="G10:H10"/>
    <mergeCell ref="C10:D10"/>
    <mergeCell ref="E10:F10"/>
    <mergeCell ref="I11:J11"/>
    <mergeCell ref="I12:J12"/>
    <mergeCell ref="E12:F12"/>
    <mergeCell ref="C13:F14"/>
    <mergeCell ref="I13:L14"/>
    <mergeCell ref="K11:L11"/>
    <mergeCell ref="K12:L12"/>
    <mergeCell ref="C11:D11"/>
    <mergeCell ref="C12:D12"/>
    <mergeCell ref="E11:F11"/>
    <mergeCell ref="G13:H14"/>
    <mergeCell ref="B115:P118"/>
    <mergeCell ref="B24:B25"/>
    <mergeCell ref="K40:L40"/>
    <mergeCell ref="K41:L41"/>
    <mergeCell ref="K42:L42"/>
    <mergeCell ref="K43:L43"/>
    <mergeCell ref="K26:L26"/>
    <mergeCell ref="K27:L27"/>
    <mergeCell ref="K28:L28"/>
    <mergeCell ref="K29:L29"/>
    <mergeCell ref="K30:L30"/>
    <mergeCell ref="K31:L31"/>
    <mergeCell ref="K35:L35"/>
    <mergeCell ref="K36:L36"/>
    <mergeCell ref="K45:L45"/>
    <mergeCell ref="I24:J25"/>
    <mergeCell ref="I28:J28"/>
    <mergeCell ref="I29:J29"/>
    <mergeCell ref="I30:J30"/>
    <mergeCell ref="I31:J31"/>
    <mergeCell ref="I32:J32"/>
    <mergeCell ref="I43:J43"/>
    <mergeCell ref="I44:J44"/>
    <mergeCell ref="I39:J39"/>
    <mergeCell ref="K16:L16"/>
    <mergeCell ref="K17:L22"/>
    <mergeCell ref="K32:L32"/>
    <mergeCell ref="K33:L33"/>
    <mergeCell ref="K34:L34"/>
    <mergeCell ref="K24:L25"/>
    <mergeCell ref="I33:J33"/>
    <mergeCell ref="I34:J34"/>
    <mergeCell ref="I37:J37"/>
    <mergeCell ref="R25:X27"/>
    <mergeCell ref="K44:L44"/>
    <mergeCell ref="I45:J45"/>
    <mergeCell ref="K37:L37"/>
    <mergeCell ref="K38:L38"/>
    <mergeCell ref="K39:L39"/>
    <mergeCell ref="I40:J40"/>
    <mergeCell ref="I41:J41"/>
    <mergeCell ref="I42:J42"/>
    <mergeCell ref="I38:J38"/>
  </mergeCells>
  <conditionalFormatting sqref="M13:P14">
    <cfRule type="containsText" dxfId="67" priority="29" operator="containsText" text="Bearish">
      <formula>NOT(ISERROR(SEARCH("Bearish",M13)))</formula>
    </cfRule>
    <cfRule type="containsText" dxfId="66" priority="30" operator="containsText" text="Bullish">
      <formula>NOT(ISERROR(SEARCH("Bullish",M13)))</formula>
    </cfRule>
  </conditionalFormatting>
  <conditionalFormatting sqref="F2:I2 F1">
    <cfRule type="containsText" dxfId="65" priority="19" operator="containsText" text="Bearish">
      <formula>NOT(ISERROR(SEARCH("Bearish",F1)))</formula>
    </cfRule>
    <cfRule type="containsText" dxfId="64" priority="20" operator="containsText" text="Bullish">
      <formula>NOT(ISERROR(SEARCH("Bullish",F1)))</formula>
    </cfRule>
  </conditionalFormatting>
  <conditionalFormatting sqref="V2:V21">
    <cfRule type="containsText" dxfId="63" priority="16" operator="containsText" text="No Data">
      <formula>NOT(ISERROR(SEARCH("No Data",V2)))</formula>
    </cfRule>
    <cfRule type="containsText" dxfId="62" priority="17" operator="containsText" text="CALL Buy">
      <formula>NOT(ISERROR(SEARCH("CALL Buy",V2)))</formula>
    </cfRule>
    <cfRule type="containsText" dxfId="61" priority="18" operator="containsText" text="PUT Buy">
      <formula>NOT(ISERROR(SEARCH("PUT Buy",V2)))</formula>
    </cfRule>
  </conditionalFormatting>
  <conditionalFormatting sqref="F4:I4">
    <cfRule type="containsText" dxfId="60" priority="3" operator="containsText" text="BEARISH">
      <formula>NOT(ISERROR(SEARCH("BEARISH",F4)))</formula>
    </cfRule>
    <cfRule type="containsText" dxfId="59" priority="4" operator="containsText" text="BULLISH">
      <formula>NOT(ISERROR(SEARCH("BULLISH",F4)))</formula>
    </cfRule>
    <cfRule type="containsText" dxfId="58" priority="5" operator="containsText" text="OVERBOUGHT">
      <formula>NOT(ISERROR(SEARCH("OVERBOUGHT",F4)))</formula>
    </cfRule>
  </conditionalFormatting>
  <conditionalFormatting sqref="W2:W21">
    <cfRule type="cellIs" dxfId="57" priority="1" operator="lessThan">
      <formula>-0.3</formula>
    </cfRule>
    <cfRule type="cellIs" dxfId="56" priority="2" operator="greaterThan">
      <formula>0.3</formula>
    </cfRule>
  </conditionalFormatting>
  <pageMargins left="0.7" right="0.7" top="0.75" bottom="0.75" header="0.3" footer="0.3"/>
  <pageSetup orientation="portrait" r:id="rId1"/>
  <ignoredErrors>
    <ignoredError sqref="C19 C20:C21 F21 E22:G22 D19 D20 F19 F20 K26:L4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tartTimer">
                <anchor moveWithCells="1" sizeWithCells="1">
                  <from>
                    <xdr:col>13</xdr:col>
                    <xdr:colOff>68580</xdr:colOff>
                    <xdr:row>2</xdr:row>
                    <xdr:rowOff>30480</xdr:rowOff>
                  </from>
                  <to>
                    <xdr:col>15</xdr:col>
                    <xdr:colOff>502920</xdr:colOff>
                    <xdr:row>2</xdr:row>
                    <xdr:rowOff>350520</xdr:rowOff>
                  </to>
                </anchor>
              </controlPr>
            </control>
          </mc:Choice>
        </mc:AlternateContent>
        <mc:AlternateContent xmlns:mc="http://schemas.openxmlformats.org/markup-compatibility/2006">
          <mc:Choice Requires="x14">
            <control shapeId="4098" r:id="rId5" name="Button 2">
              <controlPr defaultSize="0" print="0" autoFill="0" autoPict="0" macro="[0]!stopTimer">
                <anchor moveWithCells="1" sizeWithCells="1">
                  <from>
                    <xdr:col>13</xdr:col>
                    <xdr:colOff>99060</xdr:colOff>
                    <xdr:row>3</xdr:row>
                    <xdr:rowOff>99060</xdr:rowOff>
                  </from>
                  <to>
                    <xdr:col>15</xdr:col>
                    <xdr:colOff>518160</xdr:colOff>
                    <xdr:row>3</xdr:row>
                    <xdr:rowOff>419100</xdr:rowOff>
                  </to>
                </anchor>
              </controlPr>
            </control>
          </mc:Choice>
        </mc:AlternateContent>
        <mc:AlternateContent xmlns:mc="http://schemas.openxmlformats.org/markup-compatibility/2006">
          <mc:Choice Requires="x14">
            <control shapeId="4099" r:id="rId6" name="Button 3">
              <controlPr defaultSize="0" print="0" autoFill="0" autoPict="0" macro="[0]!cleardata">
                <anchor moveWithCells="1" sizeWithCells="1">
                  <from>
                    <xdr:col>13</xdr:col>
                    <xdr:colOff>83820</xdr:colOff>
                    <xdr:row>4</xdr:row>
                    <xdr:rowOff>106680</xdr:rowOff>
                  </from>
                  <to>
                    <xdr:col>15</xdr:col>
                    <xdr:colOff>533400</xdr:colOff>
                    <xdr:row>6</xdr:row>
                    <xdr:rowOff>83820</xdr:rowOff>
                  </to>
                </anchor>
              </controlPr>
            </control>
          </mc:Choice>
        </mc:AlternateContent>
        <mc:AlternateContent xmlns:mc="http://schemas.openxmlformats.org/markup-compatibility/2006">
          <mc:Choice Requires="x14">
            <control shapeId="4100" r:id="rId7" name="Button 4">
              <controlPr defaultSize="0" print="0" autoFill="0" autoPict="0" macro="[0]!RM">
                <anchor moveWithCells="1" sizeWithCells="1">
                  <from>
                    <xdr:col>13</xdr:col>
                    <xdr:colOff>182880</xdr:colOff>
                    <xdr:row>0</xdr:row>
                    <xdr:rowOff>83820</xdr:rowOff>
                  </from>
                  <to>
                    <xdr:col>15</xdr:col>
                    <xdr:colOff>403860</xdr:colOff>
                    <xdr:row>1</xdr:row>
                    <xdr:rowOff>76200</xdr:rowOff>
                  </to>
                </anchor>
              </controlPr>
            </control>
          </mc:Choice>
        </mc:AlternateContent>
        <mc:AlternateContent xmlns:mc="http://schemas.openxmlformats.org/markup-compatibility/2006">
          <mc:Choice Requires="x14">
            <control shapeId="4101" r:id="rId8" name="Button 5">
              <controlPr defaultSize="0" print="0" autoFill="0" autoPict="0" macro="[0]!startT">
                <anchor moveWithCells="1" sizeWithCells="1">
                  <from>
                    <xdr:col>10</xdr:col>
                    <xdr:colOff>144780</xdr:colOff>
                    <xdr:row>16</xdr:row>
                    <xdr:rowOff>83820</xdr:rowOff>
                  </from>
                  <to>
                    <xdr:col>11</xdr:col>
                    <xdr:colOff>327660</xdr:colOff>
                    <xdr:row>17</xdr:row>
                    <xdr:rowOff>121920</xdr:rowOff>
                  </to>
                </anchor>
              </controlPr>
            </control>
          </mc:Choice>
        </mc:AlternateContent>
        <mc:AlternateContent xmlns:mc="http://schemas.openxmlformats.org/markup-compatibility/2006">
          <mc:Choice Requires="x14">
            <control shapeId="4102" r:id="rId9" name="Button 6">
              <controlPr defaultSize="0" print="0" autoFill="0" autoPict="0" macro="[0]!stopT">
                <anchor moveWithCells="1" sizeWithCells="1">
                  <from>
                    <xdr:col>10</xdr:col>
                    <xdr:colOff>144780</xdr:colOff>
                    <xdr:row>18</xdr:row>
                    <xdr:rowOff>60960</xdr:rowOff>
                  </from>
                  <to>
                    <xdr:col>11</xdr:col>
                    <xdr:colOff>327660</xdr:colOff>
                    <xdr:row>19</xdr:row>
                    <xdr:rowOff>114300</xdr:rowOff>
                  </to>
                </anchor>
              </controlPr>
            </control>
          </mc:Choice>
        </mc:AlternateContent>
        <mc:AlternateContent xmlns:mc="http://schemas.openxmlformats.org/markup-compatibility/2006">
          <mc:Choice Requires="x14">
            <control shapeId="4103" r:id="rId10" name="Button 7">
              <controlPr defaultSize="0" print="0" autoFill="0" autoPict="0" macro="[0]!_xludf.clear">
                <anchor moveWithCells="1" sizeWithCells="1">
                  <from>
                    <xdr:col>10</xdr:col>
                    <xdr:colOff>137160</xdr:colOff>
                    <xdr:row>20</xdr:row>
                    <xdr:rowOff>76200</xdr:rowOff>
                  </from>
                  <to>
                    <xdr:col>11</xdr:col>
                    <xdr:colOff>312420</xdr:colOff>
                    <xdr:row>21</xdr:row>
                    <xdr:rowOff>137160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displayEmptyCellsAs="gap" xr2:uid="{22E3F50F-F023-45E4-8DFF-4D011928E644}">
          <x14:colorSeries rgb="FF376092"/>
          <x14:colorNegative rgb="FFD00000"/>
          <x14:colorAxis rgb="FF000000"/>
          <x14:colorMarkers rgb="FFD00000"/>
          <x14:colorFirst rgb="FFD00000"/>
          <x14:colorLast rgb="FFD00000"/>
          <x14:colorHigh rgb="FFD00000"/>
          <x14:colorLow rgb="FFD00000"/>
          <x14:sparklines>
            <x14:sparkline>
              <xm:f>Dashboard!I26:L26</xm:f>
              <xm:sqref>N26</xm:sqref>
            </x14:sparkline>
          </x14:sparklines>
        </x14:sparklineGroup>
        <x14:sparklineGroup displayEmptyCellsAs="gap" xr2:uid="{15F64E99-D0C7-4F95-ADC8-F30185428DCA}">
          <x14:colorSeries rgb="FF376092"/>
          <x14:colorNegative rgb="FFD00000"/>
          <x14:colorAxis rgb="FF000000"/>
          <x14:colorMarkers rgb="FFD00000"/>
          <x14:colorFirst rgb="FFD00000"/>
          <x14:colorLast rgb="FFD00000"/>
          <x14:colorHigh rgb="FFD00000"/>
          <x14:colorLow rgb="FFD00000"/>
          <x14:sparklines>
            <x14:sparkline>
              <xm:f>Dashboard!I26:L26</xm:f>
              <xm:sqref>M26</xm:sqref>
            </x14:sparkline>
          </x14:sparklines>
        </x14:sparklineGroup>
        <x14:sparklineGroup displayEmptyCellsAs="gap" xr2:uid="{E2DABA36-5268-479B-8135-504CCF5FED9C}">
          <x14:colorSeries rgb="FF000000"/>
          <x14:colorNegative rgb="FF0070C0"/>
          <x14:colorAxis rgb="FF000000"/>
          <x14:colorMarkers rgb="FF0070C0"/>
          <x14:colorFirst rgb="FF0070C0"/>
          <x14:colorLast rgb="FF0070C0"/>
          <x14:colorHigh rgb="FF0070C0"/>
          <x14:colorLow rgb="FF0070C0"/>
          <x14:sparklines>
            <x14:sparkline>
              <xm:f>Dashboard!I26:L26</xm:f>
              <xm:sqref>P26</xm:sqref>
            </x14:sparkline>
          </x14:sparklines>
        </x14:sparklineGroup>
        <x14:sparklineGroup displayEmptyCellsAs="gap" xr2:uid="{7FFC589E-9AF2-4FD5-B499-078EDF1A5516}">
          <x14:colorSeries rgb="FF376092"/>
          <x14:colorNegative rgb="FFD00000"/>
          <x14:colorAxis rgb="FF000000"/>
          <x14:colorMarkers rgb="FFD00000"/>
          <x14:colorFirst rgb="FFD00000"/>
          <x14:colorLast rgb="FFD00000"/>
          <x14:colorHigh rgb="FFD00000"/>
          <x14:colorLow rgb="FFD00000"/>
          <x14:sparklines>
            <x14:sparkline>
              <xm:f>Dashboard!I26:L26</xm:f>
              <xm:sqref>Z22</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8CF2B-71F5-4723-A44C-8C9E5F331794}">
  <sheetPr codeName="Sheet3"/>
  <dimension ref="A1:XFD101"/>
  <sheetViews>
    <sheetView workbookViewId="0">
      <selection activeCell="F4" sqref="F4:AV88"/>
    </sheetView>
  </sheetViews>
  <sheetFormatPr defaultRowHeight="14.4" x14ac:dyDescent="0.3"/>
  <cols>
    <col min="1" max="1" width="6.33203125" style="10" customWidth="1"/>
    <col min="2" max="2" width="9.88671875" style="10" customWidth="1"/>
    <col min="3" max="3" width="8.88671875" style="10" customWidth="1"/>
    <col min="4" max="4" width="9.6640625" style="10" bestFit="1" customWidth="1"/>
    <col min="5" max="5" width="10.109375" style="10" customWidth="1"/>
    <col min="6" max="11" width="6" style="10" bestFit="1" customWidth="1"/>
    <col min="12" max="12" width="6.5546875" style="10" customWidth="1"/>
    <col min="13" max="13" width="11.33203125" style="10" customWidth="1"/>
    <col min="14" max="14" width="8.109375" style="10" bestFit="1" customWidth="1"/>
    <col min="15" max="16" width="7.33203125" style="10" customWidth="1"/>
    <col min="17" max="31" width="6" style="10" bestFit="1" customWidth="1"/>
    <col min="32" max="32" width="8" style="10" bestFit="1" customWidth="1"/>
    <col min="33" max="48" width="6" style="10" bestFit="1" customWidth="1"/>
    <col min="49" max="16383" width="8.88671875" style="10"/>
    <col min="16384" max="16384" width="2" style="10" bestFit="1" customWidth="1"/>
  </cols>
  <sheetData>
    <row r="1" spans="1:51" x14ac:dyDescent="0.3">
      <c r="F1" s="35"/>
      <c r="G1" s="36"/>
      <c r="H1" s="36"/>
      <c r="I1" s="36"/>
      <c r="J1" s="15"/>
    </row>
    <row r="2" spans="1:51" ht="15" thickBot="1" x14ac:dyDescent="0.35">
      <c r="F2" s="14"/>
      <c r="G2" s="15"/>
      <c r="H2" s="15"/>
      <c r="I2" s="15"/>
      <c r="J2" s="15"/>
    </row>
    <row r="3" spans="1:51" ht="15" thickBot="1" x14ac:dyDescent="0.35">
      <c r="F3" s="37" t="str">
        <f>F90</f>
        <v>Time</v>
      </c>
      <c r="G3" s="38">
        <f t="shared" ref="G3:J3" si="0">G90</f>
        <v>17700</v>
      </c>
      <c r="H3" s="38">
        <f t="shared" si="0"/>
        <v>17750</v>
      </c>
      <c r="I3" s="38">
        <f t="shared" si="0"/>
        <v>17800</v>
      </c>
      <c r="J3" s="39">
        <f t="shared" si="0"/>
        <v>17850</v>
      </c>
    </row>
    <row r="4" spans="1:51" x14ac:dyDescent="0.3">
      <c r="A4" s="40"/>
      <c r="B4" s="40">
        <f t="shared" ref="B4:B67" si="1">SUM(G4:AA4)*75</f>
        <v>0</v>
      </c>
      <c r="C4" s="40">
        <f t="shared" ref="C4:C67" si="2">SUM(AB4:AV4)*75</f>
        <v>0</v>
      </c>
      <c r="D4" s="40">
        <f t="shared" ref="D4:D67" si="3">C4-B4</f>
        <v>0</v>
      </c>
      <c r="E4" s="41"/>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42"/>
      <c r="AK4" s="42"/>
      <c r="AL4" s="36"/>
      <c r="AM4" s="36"/>
      <c r="AN4" s="36"/>
      <c r="AO4" s="36"/>
      <c r="AP4" s="36"/>
      <c r="AQ4" s="36"/>
      <c r="AR4" s="36"/>
      <c r="AS4" s="36"/>
      <c r="AT4" s="36"/>
      <c r="AU4" s="36"/>
      <c r="AV4" s="43"/>
      <c r="AY4" s="10">
        <v>1</v>
      </c>
    </row>
    <row r="5" spans="1:51" x14ac:dyDescent="0.3">
      <c r="A5" s="40"/>
      <c r="B5" s="40">
        <f t="shared" si="1"/>
        <v>0</v>
      </c>
      <c r="C5" s="40">
        <f t="shared" si="2"/>
        <v>0</v>
      </c>
      <c r="D5" s="40">
        <f t="shared" si="3"/>
        <v>0</v>
      </c>
      <c r="E5" s="41"/>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44"/>
      <c r="AY5" s="10">
        <v>2</v>
      </c>
    </row>
    <row r="6" spans="1:51" x14ac:dyDescent="0.3">
      <c r="A6" s="40"/>
      <c r="B6" s="40">
        <f t="shared" si="1"/>
        <v>0</v>
      </c>
      <c r="C6" s="40">
        <f t="shared" si="2"/>
        <v>0</v>
      </c>
      <c r="D6" s="40">
        <f t="shared" si="3"/>
        <v>0</v>
      </c>
      <c r="E6" s="41"/>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44"/>
      <c r="AY6" s="214">
        <v>3</v>
      </c>
    </row>
    <row r="7" spans="1:51" x14ac:dyDescent="0.3">
      <c r="A7" s="40"/>
      <c r="B7" s="40">
        <f t="shared" si="1"/>
        <v>0</v>
      </c>
      <c r="C7" s="40">
        <f t="shared" si="2"/>
        <v>0</v>
      </c>
      <c r="D7" s="40">
        <f t="shared" si="3"/>
        <v>0</v>
      </c>
      <c r="E7" s="41"/>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44"/>
      <c r="AY7" s="214">
        <v>4</v>
      </c>
    </row>
    <row r="8" spans="1:51" x14ac:dyDescent="0.3">
      <c r="A8" s="40"/>
      <c r="B8" s="40">
        <f t="shared" si="1"/>
        <v>0</v>
      </c>
      <c r="C8" s="40">
        <f t="shared" si="2"/>
        <v>0</v>
      </c>
      <c r="D8" s="40">
        <f t="shared" si="3"/>
        <v>0</v>
      </c>
      <c r="E8" s="41"/>
      <c r="F8" s="15"/>
      <c r="G8" s="15"/>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44"/>
      <c r="AY8" s="214">
        <v>5</v>
      </c>
    </row>
    <row r="9" spans="1:51" x14ac:dyDescent="0.3">
      <c r="A9" s="40"/>
      <c r="B9" s="40">
        <f t="shared" si="1"/>
        <v>0</v>
      </c>
      <c r="C9" s="40">
        <f t="shared" si="2"/>
        <v>0</v>
      </c>
      <c r="D9" s="40">
        <f t="shared" si="3"/>
        <v>0</v>
      </c>
      <c r="E9" s="41"/>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45"/>
      <c r="AK9" s="15"/>
      <c r="AL9" s="15"/>
      <c r="AM9" s="15"/>
      <c r="AN9" s="15"/>
      <c r="AO9" s="15"/>
      <c r="AP9" s="15"/>
      <c r="AQ9" s="15"/>
      <c r="AR9" s="15"/>
      <c r="AS9" s="15"/>
      <c r="AT9" s="15"/>
      <c r="AU9" s="15"/>
      <c r="AV9" s="44"/>
      <c r="AY9" s="214">
        <v>6</v>
      </c>
    </row>
    <row r="10" spans="1:51" x14ac:dyDescent="0.3">
      <c r="A10" s="40"/>
      <c r="B10" s="40">
        <f t="shared" si="1"/>
        <v>0</v>
      </c>
      <c r="C10" s="40">
        <f t="shared" si="2"/>
        <v>0</v>
      </c>
      <c r="D10" s="40">
        <f t="shared" si="3"/>
        <v>0</v>
      </c>
      <c r="E10" s="41"/>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45"/>
      <c r="AK10" s="15"/>
      <c r="AL10" s="15"/>
      <c r="AM10" s="15"/>
      <c r="AN10" s="15"/>
      <c r="AO10" s="15"/>
      <c r="AP10" s="15"/>
      <c r="AQ10" s="15"/>
      <c r="AR10" s="15"/>
      <c r="AS10" s="15"/>
      <c r="AT10" s="15"/>
      <c r="AU10" s="15"/>
      <c r="AV10" s="44"/>
      <c r="AY10" s="214">
        <v>7</v>
      </c>
    </row>
    <row r="11" spans="1:51" x14ac:dyDescent="0.3">
      <c r="A11" s="40"/>
      <c r="B11" s="40">
        <f t="shared" si="1"/>
        <v>0</v>
      </c>
      <c r="C11" s="40">
        <f t="shared" si="2"/>
        <v>0</v>
      </c>
      <c r="D11" s="40">
        <f t="shared" si="3"/>
        <v>0</v>
      </c>
      <c r="E11" s="41"/>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45"/>
      <c r="AK11" s="15"/>
      <c r="AL11" s="15"/>
      <c r="AM11" s="15"/>
      <c r="AN11" s="15"/>
      <c r="AO11" s="15"/>
      <c r="AP11" s="15"/>
      <c r="AQ11" s="15"/>
      <c r="AR11" s="15"/>
      <c r="AS11" s="15"/>
      <c r="AT11" s="15"/>
      <c r="AU11" s="15"/>
      <c r="AV11" s="15"/>
      <c r="AY11" s="214">
        <v>8</v>
      </c>
    </row>
    <row r="12" spans="1:51" x14ac:dyDescent="0.3">
      <c r="A12" s="40"/>
      <c r="B12" s="40">
        <f t="shared" si="1"/>
        <v>0</v>
      </c>
      <c r="C12" s="40">
        <f t="shared" si="2"/>
        <v>0</v>
      </c>
      <c r="D12" s="40">
        <f t="shared" si="3"/>
        <v>0</v>
      </c>
      <c r="E12" s="41"/>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45"/>
      <c r="AK12" s="15"/>
      <c r="AL12" s="15"/>
      <c r="AM12" s="15"/>
      <c r="AN12" s="15"/>
      <c r="AO12" s="15"/>
      <c r="AP12" s="15"/>
      <c r="AQ12" s="15"/>
      <c r="AR12" s="15"/>
      <c r="AS12" s="15"/>
      <c r="AT12" s="15"/>
      <c r="AU12" s="15"/>
      <c r="AV12" s="44"/>
      <c r="AY12" s="214">
        <v>9</v>
      </c>
    </row>
    <row r="13" spans="1:51" x14ac:dyDescent="0.3">
      <c r="A13" s="40"/>
      <c r="B13" s="40">
        <f t="shared" si="1"/>
        <v>0</v>
      </c>
      <c r="C13" s="40">
        <f t="shared" si="2"/>
        <v>0</v>
      </c>
      <c r="D13" s="40">
        <f t="shared" si="3"/>
        <v>0</v>
      </c>
      <c r="E13" s="41"/>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c r="AI13" s="15"/>
      <c r="AJ13" s="45"/>
      <c r="AK13" s="15"/>
      <c r="AL13" s="15"/>
      <c r="AM13" s="15"/>
      <c r="AN13" s="15"/>
      <c r="AO13" s="15"/>
      <c r="AP13" s="15"/>
      <c r="AQ13" s="15"/>
      <c r="AR13" s="15"/>
      <c r="AS13" s="15"/>
      <c r="AT13" s="15"/>
      <c r="AU13" s="15"/>
      <c r="AV13" s="44"/>
      <c r="AY13" s="214">
        <v>10</v>
      </c>
    </row>
    <row r="14" spans="1:51" x14ac:dyDescent="0.3">
      <c r="A14" s="40"/>
      <c r="B14" s="40">
        <f t="shared" si="1"/>
        <v>0</v>
      </c>
      <c r="C14" s="40">
        <f t="shared" si="2"/>
        <v>0</v>
      </c>
      <c r="D14" s="40">
        <f t="shared" si="3"/>
        <v>0</v>
      </c>
      <c r="E14" s="41"/>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45"/>
      <c r="AK14" s="15"/>
      <c r="AL14" s="15"/>
      <c r="AM14" s="15"/>
      <c r="AN14" s="15"/>
      <c r="AO14" s="15"/>
      <c r="AP14" s="15"/>
      <c r="AQ14" s="15"/>
      <c r="AR14" s="15"/>
      <c r="AS14" s="15"/>
      <c r="AT14" s="15"/>
      <c r="AU14" s="15"/>
      <c r="AV14" s="44"/>
      <c r="AY14" s="214">
        <v>11</v>
      </c>
    </row>
    <row r="15" spans="1:51" x14ac:dyDescent="0.3">
      <c r="A15" s="40"/>
      <c r="B15" s="40">
        <f t="shared" si="1"/>
        <v>0</v>
      </c>
      <c r="C15" s="40">
        <f t="shared" si="2"/>
        <v>0</v>
      </c>
      <c r="D15" s="40">
        <f t="shared" si="3"/>
        <v>0</v>
      </c>
      <c r="E15" s="41"/>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45"/>
      <c r="AK15" s="15"/>
      <c r="AL15" s="15"/>
      <c r="AM15" s="15"/>
      <c r="AN15" s="15"/>
      <c r="AO15" s="15"/>
      <c r="AP15" s="15"/>
      <c r="AQ15" s="15"/>
      <c r="AR15" s="15"/>
      <c r="AS15" s="15"/>
      <c r="AT15" s="15"/>
      <c r="AU15" s="15"/>
      <c r="AV15" s="44"/>
      <c r="AY15" s="214">
        <v>12</v>
      </c>
    </row>
    <row r="16" spans="1:51" x14ac:dyDescent="0.3">
      <c r="A16" s="40"/>
      <c r="B16" s="40">
        <f t="shared" si="1"/>
        <v>0</v>
      </c>
      <c r="C16" s="40">
        <f t="shared" si="2"/>
        <v>0</v>
      </c>
      <c r="D16" s="40">
        <f t="shared" si="3"/>
        <v>0</v>
      </c>
      <c r="E16" s="41"/>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45"/>
      <c r="AK16" s="15"/>
      <c r="AL16" s="15"/>
      <c r="AM16" s="15"/>
      <c r="AN16" s="15"/>
      <c r="AO16" s="15"/>
      <c r="AP16" s="15"/>
      <c r="AQ16" s="15"/>
      <c r="AR16" s="15"/>
      <c r="AS16" s="15"/>
      <c r="AT16" s="15"/>
      <c r="AU16" s="15"/>
      <c r="AV16" s="44"/>
      <c r="AY16" s="214">
        <v>13</v>
      </c>
    </row>
    <row r="17" spans="1:51" x14ac:dyDescent="0.3">
      <c r="A17" s="40"/>
      <c r="B17" s="40">
        <f t="shared" si="1"/>
        <v>0</v>
      </c>
      <c r="C17" s="40">
        <f t="shared" si="2"/>
        <v>0</v>
      </c>
      <c r="D17" s="40">
        <f t="shared" si="3"/>
        <v>0</v>
      </c>
      <c r="E17" s="41"/>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45"/>
      <c r="AK17" s="15"/>
      <c r="AL17" s="15"/>
      <c r="AM17" s="15"/>
      <c r="AN17" s="15"/>
      <c r="AO17" s="15"/>
      <c r="AP17" s="15"/>
      <c r="AQ17" s="15"/>
      <c r="AR17" s="15"/>
      <c r="AS17" s="15"/>
      <c r="AT17" s="15"/>
      <c r="AU17" s="15"/>
      <c r="AV17" s="44"/>
      <c r="AY17" s="214">
        <v>14</v>
      </c>
    </row>
    <row r="18" spans="1:51" x14ac:dyDescent="0.3">
      <c r="A18" s="40"/>
      <c r="B18" s="40">
        <f t="shared" si="1"/>
        <v>0</v>
      </c>
      <c r="C18" s="40">
        <f t="shared" si="2"/>
        <v>0</v>
      </c>
      <c r="D18" s="40">
        <f t="shared" si="3"/>
        <v>0</v>
      </c>
      <c r="E18" s="41"/>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45"/>
      <c r="AK18" s="15"/>
      <c r="AL18" s="15"/>
      <c r="AM18" s="15"/>
      <c r="AN18" s="15"/>
      <c r="AO18" s="15"/>
      <c r="AP18" s="15"/>
      <c r="AQ18" s="15"/>
      <c r="AR18" s="15"/>
      <c r="AS18" s="15"/>
      <c r="AT18" s="15"/>
      <c r="AU18" s="15"/>
      <c r="AV18" s="44"/>
      <c r="AY18" s="214">
        <v>15</v>
      </c>
    </row>
    <row r="19" spans="1:51" x14ac:dyDescent="0.3">
      <c r="A19" s="40"/>
      <c r="B19" s="40">
        <f t="shared" si="1"/>
        <v>0</v>
      </c>
      <c r="C19" s="40">
        <f t="shared" si="2"/>
        <v>0</v>
      </c>
      <c r="D19" s="40">
        <f t="shared" si="3"/>
        <v>0</v>
      </c>
      <c r="E19" s="41"/>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44"/>
      <c r="AY19" s="214">
        <v>16</v>
      </c>
    </row>
    <row r="20" spans="1:51" x14ac:dyDescent="0.3">
      <c r="A20" s="40"/>
      <c r="B20" s="40">
        <f t="shared" si="1"/>
        <v>0</v>
      </c>
      <c r="C20" s="40">
        <f t="shared" si="2"/>
        <v>0</v>
      </c>
      <c r="D20" s="40">
        <f t="shared" si="3"/>
        <v>0</v>
      </c>
      <c r="E20" s="46" t="str">
        <f>IF(D20&gt;1000000," CALL BUY","PUT Buy")</f>
        <v>PUT Buy</v>
      </c>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44"/>
      <c r="AY20" s="214">
        <v>17</v>
      </c>
    </row>
    <row r="21" spans="1:51" x14ac:dyDescent="0.3">
      <c r="A21" s="40"/>
      <c r="B21" s="40">
        <f t="shared" si="1"/>
        <v>0</v>
      </c>
      <c r="C21" s="40">
        <f t="shared" si="2"/>
        <v>0</v>
      </c>
      <c r="D21" s="40">
        <f t="shared" si="3"/>
        <v>0</v>
      </c>
      <c r="E21" s="46" t="str">
        <f t="shared" ref="E21:E35" si="4">IF(D21&gt;1000000," CALL BUY","PUT Buy")</f>
        <v>PUT Buy</v>
      </c>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44"/>
      <c r="AY21" s="214">
        <v>18</v>
      </c>
    </row>
    <row r="22" spans="1:51" x14ac:dyDescent="0.3">
      <c r="A22" s="40"/>
      <c r="B22" s="40">
        <f t="shared" si="1"/>
        <v>0</v>
      </c>
      <c r="C22" s="40">
        <f t="shared" si="2"/>
        <v>0</v>
      </c>
      <c r="D22" s="40">
        <f t="shared" si="3"/>
        <v>0</v>
      </c>
      <c r="E22" s="46" t="str">
        <f t="shared" si="4"/>
        <v>PUT Buy</v>
      </c>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44"/>
      <c r="AY22" s="214">
        <v>19</v>
      </c>
    </row>
    <row r="23" spans="1:51" x14ac:dyDescent="0.3">
      <c r="A23" s="40"/>
      <c r="B23" s="40">
        <f t="shared" si="1"/>
        <v>0</v>
      </c>
      <c r="C23" s="40">
        <f t="shared" si="2"/>
        <v>0</v>
      </c>
      <c r="D23" s="40">
        <f t="shared" si="3"/>
        <v>0</v>
      </c>
      <c r="E23" s="46" t="str">
        <f t="shared" si="4"/>
        <v>PUT Buy</v>
      </c>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44"/>
      <c r="AY23" s="214">
        <v>20</v>
      </c>
    </row>
    <row r="24" spans="1:51" x14ac:dyDescent="0.3">
      <c r="A24" s="40"/>
      <c r="B24" s="40">
        <f t="shared" si="1"/>
        <v>0</v>
      </c>
      <c r="C24" s="40">
        <f t="shared" si="2"/>
        <v>0</v>
      </c>
      <c r="D24" s="40">
        <f t="shared" si="3"/>
        <v>0</v>
      </c>
      <c r="E24" s="46" t="str">
        <f t="shared" si="4"/>
        <v>PUT Buy</v>
      </c>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44"/>
      <c r="AY24" s="214">
        <v>21</v>
      </c>
    </row>
    <row r="25" spans="1:51" x14ac:dyDescent="0.3">
      <c r="A25" s="40"/>
      <c r="B25" s="40">
        <f t="shared" si="1"/>
        <v>0</v>
      </c>
      <c r="C25" s="40">
        <f t="shared" si="2"/>
        <v>0</v>
      </c>
      <c r="D25" s="40">
        <f t="shared" si="3"/>
        <v>0</v>
      </c>
      <c r="E25" s="46" t="str">
        <f t="shared" si="4"/>
        <v>PUT Buy</v>
      </c>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44"/>
      <c r="AY25" s="214">
        <v>22</v>
      </c>
    </row>
    <row r="26" spans="1:51" x14ac:dyDescent="0.3">
      <c r="A26" s="40">
        <f t="shared" ref="A26:A37" si="5">F26</f>
        <v>0</v>
      </c>
      <c r="B26" s="40">
        <f t="shared" si="1"/>
        <v>0</v>
      </c>
      <c r="C26" s="40">
        <f t="shared" si="2"/>
        <v>0</v>
      </c>
      <c r="D26" s="40">
        <f t="shared" si="3"/>
        <v>0</v>
      </c>
      <c r="E26" s="46" t="str">
        <f t="shared" si="4"/>
        <v>PUT Buy</v>
      </c>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44"/>
      <c r="AY26" s="214">
        <v>23</v>
      </c>
    </row>
    <row r="27" spans="1:51" x14ac:dyDescent="0.3">
      <c r="A27" s="40">
        <f t="shared" si="5"/>
        <v>0</v>
      </c>
      <c r="B27" s="40">
        <f t="shared" si="1"/>
        <v>0</v>
      </c>
      <c r="C27" s="40">
        <f t="shared" si="2"/>
        <v>0</v>
      </c>
      <c r="D27" s="40">
        <f t="shared" si="3"/>
        <v>0</v>
      </c>
      <c r="E27" s="46" t="str">
        <f t="shared" si="4"/>
        <v>PUT Buy</v>
      </c>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44"/>
      <c r="AY27" s="214">
        <v>24</v>
      </c>
    </row>
    <row r="28" spans="1:51" x14ac:dyDescent="0.3">
      <c r="A28" s="40">
        <f t="shared" si="5"/>
        <v>0</v>
      </c>
      <c r="B28" s="40">
        <f t="shared" si="1"/>
        <v>0</v>
      </c>
      <c r="C28" s="40">
        <f t="shared" si="2"/>
        <v>0</v>
      </c>
      <c r="D28" s="40">
        <f t="shared" si="3"/>
        <v>0</v>
      </c>
      <c r="E28" s="46" t="str">
        <f t="shared" si="4"/>
        <v>PUT Buy</v>
      </c>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44"/>
      <c r="AY28" s="214">
        <v>25</v>
      </c>
    </row>
    <row r="29" spans="1:51" x14ac:dyDescent="0.3">
      <c r="A29" s="40">
        <f t="shared" si="5"/>
        <v>0</v>
      </c>
      <c r="B29" s="40">
        <f t="shared" si="1"/>
        <v>0</v>
      </c>
      <c r="C29" s="40">
        <f t="shared" si="2"/>
        <v>0</v>
      </c>
      <c r="D29" s="40">
        <f t="shared" si="3"/>
        <v>0</v>
      </c>
      <c r="E29" s="46" t="str">
        <f t="shared" si="4"/>
        <v>PUT Buy</v>
      </c>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44"/>
      <c r="AY29" s="214">
        <v>26</v>
      </c>
    </row>
    <row r="30" spans="1:51" x14ac:dyDescent="0.3">
      <c r="A30" s="40">
        <f t="shared" si="5"/>
        <v>0</v>
      </c>
      <c r="B30" s="40">
        <f t="shared" si="1"/>
        <v>0</v>
      </c>
      <c r="C30" s="40">
        <f t="shared" si="2"/>
        <v>0</v>
      </c>
      <c r="D30" s="40">
        <f t="shared" si="3"/>
        <v>0</v>
      </c>
      <c r="E30" s="46" t="str">
        <f t="shared" si="4"/>
        <v>PUT Buy</v>
      </c>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44"/>
      <c r="AY30" s="214">
        <v>27</v>
      </c>
    </row>
    <row r="31" spans="1:51" x14ac:dyDescent="0.3">
      <c r="A31" s="40">
        <f t="shared" si="5"/>
        <v>0</v>
      </c>
      <c r="B31" s="40">
        <f t="shared" si="1"/>
        <v>0</v>
      </c>
      <c r="C31" s="40">
        <f t="shared" si="2"/>
        <v>0</v>
      </c>
      <c r="D31" s="40">
        <f t="shared" si="3"/>
        <v>0</v>
      </c>
      <c r="E31" s="46" t="str">
        <f t="shared" si="4"/>
        <v>PUT Buy</v>
      </c>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44"/>
      <c r="AY31" s="214">
        <v>28</v>
      </c>
    </row>
    <row r="32" spans="1:51" x14ac:dyDescent="0.3">
      <c r="A32" s="40">
        <f t="shared" si="5"/>
        <v>0</v>
      </c>
      <c r="B32" s="40">
        <f t="shared" si="1"/>
        <v>0</v>
      </c>
      <c r="C32" s="40">
        <f t="shared" si="2"/>
        <v>0</v>
      </c>
      <c r="D32" s="40">
        <f t="shared" si="3"/>
        <v>0</v>
      </c>
      <c r="E32" s="46" t="str">
        <f t="shared" si="4"/>
        <v>PUT Buy</v>
      </c>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44"/>
      <c r="AY32" s="214">
        <v>29</v>
      </c>
    </row>
    <row r="33" spans="1:51" x14ac:dyDescent="0.3">
      <c r="A33" s="40">
        <f t="shared" si="5"/>
        <v>0</v>
      </c>
      <c r="B33" s="40">
        <f t="shared" si="1"/>
        <v>0</v>
      </c>
      <c r="C33" s="40">
        <f t="shared" si="2"/>
        <v>0</v>
      </c>
      <c r="D33" s="40">
        <f t="shared" si="3"/>
        <v>0</v>
      </c>
      <c r="E33" s="46" t="str">
        <f t="shared" si="4"/>
        <v>PUT Buy</v>
      </c>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44"/>
      <c r="AY33" s="214">
        <v>30</v>
      </c>
    </row>
    <row r="34" spans="1:51" x14ac:dyDescent="0.3">
      <c r="A34" s="40">
        <f t="shared" si="5"/>
        <v>0</v>
      </c>
      <c r="B34" s="40">
        <f t="shared" si="1"/>
        <v>0</v>
      </c>
      <c r="C34" s="40">
        <f t="shared" si="2"/>
        <v>0</v>
      </c>
      <c r="D34" s="40">
        <f t="shared" si="3"/>
        <v>0</v>
      </c>
      <c r="E34" s="46" t="str">
        <f t="shared" si="4"/>
        <v>PUT Buy</v>
      </c>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44"/>
      <c r="AY34" s="214">
        <v>31</v>
      </c>
    </row>
    <row r="35" spans="1:51" x14ac:dyDescent="0.3">
      <c r="A35" s="40">
        <f t="shared" si="5"/>
        <v>0</v>
      </c>
      <c r="B35" s="40">
        <f t="shared" si="1"/>
        <v>0</v>
      </c>
      <c r="C35" s="40">
        <f t="shared" si="2"/>
        <v>0</v>
      </c>
      <c r="D35" s="40">
        <f t="shared" si="3"/>
        <v>0</v>
      </c>
      <c r="E35" s="46" t="str">
        <f t="shared" si="4"/>
        <v>PUT Buy</v>
      </c>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44"/>
      <c r="AY35" s="214">
        <v>32</v>
      </c>
    </row>
    <row r="36" spans="1:51" x14ac:dyDescent="0.3">
      <c r="A36" s="40">
        <f t="shared" si="5"/>
        <v>0</v>
      </c>
      <c r="B36" s="40">
        <f t="shared" si="1"/>
        <v>0</v>
      </c>
      <c r="C36" s="40">
        <f t="shared" si="2"/>
        <v>0</v>
      </c>
      <c r="D36" s="40">
        <f t="shared" si="3"/>
        <v>0</v>
      </c>
      <c r="E36" s="46" t="str">
        <f t="shared" ref="E36:E48" si="6">IF(D36&gt;1000000," CALL BUY","PUT Buy")</f>
        <v>PUT Buy</v>
      </c>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44"/>
      <c r="AY36" s="214">
        <v>33</v>
      </c>
    </row>
    <row r="37" spans="1:51" x14ac:dyDescent="0.3">
      <c r="A37" s="40">
        <f t="shared" si="5"/>
        <v>0</v>
      </c>
      <c r="B37" s="40">
        <f t="shared" si="1"/>
        <v>0</v>
      </c>
      <c r="C37" s="40">
        <f t="shared" si="2"/>
        <v>0</v>
      </c>
      <c r="D37" s="40">
        <f t="shared" si="3"/>
        <v>0</v>
      </c>
      <c r="E37" s="46" t="str">
        <f t="shared" si="6"/>
        <v>PUT Buy</v>
      </c>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44"/>
      <c r="AY37" s="214">
        <v>34</v>
      </c>
    </row>
    <row r="38" spans="1:51" x14ac:dyDescent="0.3">
      <c r="A38" s="40">
        <f t="shared" ref="A38:A41" si="7">F38</f>
        <v>0</v>
      </c>
      <c r="B38" s="40">
        <f t="shared" si="1"/>
        <v>0</v>
      </c>
      <c r="C38" s="40">
        <f t="shared" si="2"/>
        <v>0</v>
      </c>
      <c r="D38" s="40">
        <f t="shared" si="3"/>
        <v>0</v>
      </c>
      <c r="E38" s="46" t="str">
        <f t="shared" si="6"/>
        <v>PUT Buy</v>
      </c>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44"/>
      <c r="AY38" s="214">
        <v>35</v>
      </c>
    </row>
    <row r="39" spans="1:51" x14ac:dyDescent="0.3">
      <c r="A39" s="40">
        <f t="shared" si="7"/>
        <v>0</v>
      </c>
      <c r="B39" s="40">
        <f t="shared" si="1"/>
        <v>0</v>
      </c>
      <c r="C39" s="40">
        <f t="shared" si="2"/>
        <v>0</v>
      </c>
      <c r="D39" s="40">
        <f t="shared" si="3"/>
        <v>0</v>
      </c>
      <c r="E39" s="46" t="str">
        <f t="shared" si="6"/>
        <v>PUT Buy</v>
      </c>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44"/>
      <c r="AY39" s="214">
        <v>36</v>
      </c>
    </row>
    <row r="40" spans="1:51" x14ac:dyDescent="0.3">
      <c r="A40" s="40">
        <f t="shared" si="7"/>
        <v>0</v>
      </c>
      <c r="B40" s="40">
        <f t="shared" si="1"/>
        <v>0</v>
      </c>
      <c r="C40" s="40">
        <f t="shared" si="2"/>
        <v>0</v>
      </c>
      <c r="D40" s="40">
        <f t="shared" si="3"/>
        <v>0</v>
      </c>
      <c r="E40" s="46" t="str">
        <f t="shared" si="6"/>
        <v>PUT Buy</v>
      </c>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44"/>
      <c r="AY40" s="214">
        <v>37</v>
      </c>
    </row>
    <row r="41" spans="1:51" x14ac:dyDescent="0.3">
      <c r="A41" s="40">
        <f t="shared" si="7"/>
        <v>0</v>
      </c>
      <c r="B41" s="40">
        <f t="shared" si="1"/>
        <v>0</v>
      </c>
      <c r="C41" s="40">
        <f t="shared" si="2"/>
        <v>0</v>
      </c>
      <c r="D41" s="40">
        <f t="shared" si="3"/>
        <v>0</v>
      </c>
      <c r="E41" s="46" t="str">
        <f t="shared" si="6"/>
        <v>PUT Buy</v>
      </c>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44"/>
      <c r="AY41" s="214">
        <v>38</v>
      </c>
    </row>
    <row r="42" spans="1:51" x14ac:dyDescent="0.3">
      <c r="A42" s="40">
        <f t="shared" ref="A42:A54" si="8">F42</f>
        <v>0</v>
      </c>
      <c r="B42" s="40">
        <f t="shared" si="1"/>
        <v>0</v>
      </c>
      <c r="C42" s="40">
        <f t="shared" si="2"/>
        <v>0</v>
      </c>
      <c r="D42" s="40">
        <f t="shared" si="3"/>
        <v>0</v>
      </c>
      <c r="E42" s="46" t="str">
        <f t="shared" si="6"/>
        <v>PUT Buy</v>
      </c>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44"/>
      <c r="AY42" s="214">
        <v>39</v>
      </c>
    </row>
    <row r="43" spans="1:51" x14ac:dyDescent="0.3">
      <c r="A43" s="40">
        <f t="shared" si="8"/>
        <v>0</v>
      </c>
      <c r="B43" s="40">
        <f t="shared" si="1"/>
        <v>0</v>
      </c>
      <c r="C43" s="40">
        <f t="shared" si="2"/>
        <v>0</v>
      </c>
      <c r="D43" s="40">
        <f t="shared" si="3"/>
        <v>0</v>
      </c>
      <c r="E43" s="46" t="str">
        <f t="shared" si="6"/>
        <v>PUT Buy</v>
      </c>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44"/>
      <c r="AY43" s="214">
        <v>40</v>
      </c>
    </row>
    <row r="44" spans="1:51" x14ac:dyDescent="0.3">
      <c r="A44" s="40">
        <f t="shared" si="8"/>
        <v>0</v>
      </c>
      <c r="B44" s="40">
        <f t="shared" si="1"/>
        <v>0</v>
      </c>
      <c r="C44" s="40">
        <f t="shared" si="2"/>
        <v>0</v>
      </c>
      <c r="D44" s="40">
        <f t="shared" si="3"/>
        <v>0</v>
      </c>
      <c r="E44" s="46" t="str">
        <f t="shared" si="6"/>
        <v>PUT Buy</v>
      </c>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44"/>
      <c r="AY44" s="214">
        <v>41</v>
      </c>
    </row>
    <row r="45" spans="1:51" x14ac:dyDescent="0.3">
      <c r="A45" s="40">
        <f t="shared" si="8"/>
        <v>0</v>
      </c>
      <c r="B45" s="40">
        <f t="shared" si="1"/>
        <v>0</v>
      </c>
      <c r="C45" s="40">
        <f t="shared" si="2"/>
        <v>0</v>
      </c>
      <c r="D45" s="40">
        <f t="shared" si="3"/>
        <v>0</v>
      </c>
      <c r="E45" s="46" t="str">
        <f t="shared" si="6"/>
        <v>PUT Buy</v>
      </c>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44"/>
      <c r="AY45" s="214">
        <v>42</v>
      </c>
    </row>
    <row r="46" spans="1:51" x14ac:dyDescent="0.3">
      <c r="A46" s="40">
        <f t="shared" si="8"/>
        <v>0</v>
      </c>
      <c r="B46" s="40">
        <f t="shared" si="1"/>
        <v>0</v>
      </c>
      <c r="C46" s="40">
        <f t="shared" si="2"/>
        <v>0</v>
      </c>
      <c r="D46" s="40">
        <f t="shared" si="3"/>
        <v>0</v>
      </c>
      <c r="E46" s="46" t="str">
        <f t="shared" si="6"/>
        <v>PUT Buy</v>
      </c>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44"/>
      <c r="AY46" s="214">
        <v>43</v>
      </c>
    </row>
    <row r="47" spans="1:51" x14ac:dyDescent="0.3">
      <c r="A47" s="40">
        <f t="shared" si="8"/>
        <v>0</v>
      </c>
      <c r="B47" s="40">
        <f t="shared" si="1"/>
        <v>0</v>
      </c>
      <c r="C47" s="40">
        <f t="shared" si="2"/>
        <v>0</v>
      </c>
      <c r="D47" s="40">
        <f t="shared" si="3"/>
        <v>0</v>
      </c>
      <c r="E47" s="46" t="str">
        <f t="shared" si="6"/>
        <v>PUT Buy</v>
      </c>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44"/>
      <c r="AY47" s="214">
        <v>44</v>
      </c>
    </row>
    <row r="48" spans="1:51" x14ac:dyDescent="0.3">
      <c r="A48" s="40">
        <f t="shared" si="8"/>
        <v>0</v>
      </c>
      <c r="B48" s="40">
        <f t="shared" si="1"/>
        <v>0</v>
      </c>
      <c r="C48" s="40">
        <f t="shared" si="2"/>
        <v>0</v>
      </c>
      <c r="D48" s="40">
        <f t="shared" si="3"/>
        <v>0</v>
      </c>
      <c r="E48" s="46" t="str">
        <f t="shared" si="6"/>
        <v>PUT Buy</v>
      </c>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44"/>
      <c r="AY48" s="214">
        <v>45</v>
      </c>
    </row>
    <row r="49" spans="1:51" x14ac:dyDescent="0.3">
      <c r="A49" s="40">
        <f t="shared" si="8"/>
        <v>0</v>
      </c>
      <c r="B49" s="40">
        <f t="shared" si="1"/>
        <v>0</v>
      </c>
      <c r="C49" s="40">
        <f t="shared" si="2"/>
        <v>0</v>
      </c>
      <c r="D49" s="40">
        <f t="shared" si="3"/>
        <v>0</v>
      </c>
      <c r="E49" s="46" t="str">
        <f t="shared" ref="E49:E61" si="9">IF(D49&gt;1000000," CALL BUY","PUT Buy")</f>
        <v>PUT Buy</v>
      </c>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44"/>
      <c r="AY49" s="214">
        <v>46</v>
      </c>
    </row>
    <row r="50" spans="1:51" x14ac:dyDescent="0.3">
      <c r="A50" s="40">
        <f t="shared" si="8"/>
        <v>0</v>
      </c>
      <c r="B50" s="40">
        <f t="shared" si="1"/>
        <v>0</v>
      </c>
      <c r="C50" s="40">
        <f t="shared" si="2"/>
        <v>0</v>
      </c>
      <c r="D50" s="40">
        <f t="shared" si="3"/>
        <v>0</v>
      </c>
      <c r="E50" s="46" t="str">
        <f t="shared" si="9"/>
        <v>PUT Buy</v>
      </c>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44"/>
      <c r="AY50" s="214">
        <v>47</v>
      </c>
    </row>
    <row r="51" spans="1:51" x14ac:dyDescent="0.3">
      <c r="A51" s="40">
        <f t="shared" si="8"/>
        <v>0</v>
      </c>
      <c r="B51" s="40">
        <f t="shared" si="1"/>
        <v>0</v>
      </c>
      <c r="C51" s="40">
        <f t="shared" si="2"/>
        <v>0</v>
      </c>
      <c r="D51" s="40">
        <f t="shared" si="3"/>
        <v>0</v>
      </c>
      <c r="E51" s="46" t="str">
        <f t="shared" si="9"/>
        <v>PUT Buy</v>
      </c>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44"/>
      <c r="AY51" s="214">
        <v>48</v>
      </c>
    </row>
    <row r="52" spans="1:51" x14ac:dyDescent="0.3">
      <c r="A52" s="40">
        <f t="shared" si="8"/>
        <v>0</v>
      </c>
      <c r="B52" s="40">
        <f t="shared" si="1"/>
        <v>0</v>
      </c>
      <c r="C52" s="40">
        <f t="shared" si="2"/>
        <v>0</v>
      </c>
      <c r="D52" s="40">
        <f t="shared" si="3"/>
        <v>0</v>
      </c>
      <c r="E52" s="46" t="str">
        <f t="shared" si="9"/>
        <v>PUT Buy</v>
      </c>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44"/>
      <c r="AY52" s="214">
        <v>49</v>
      </c>
    </row>
    <row r="53" spans="1:51" x14ac:dyDescent="0.3">
      <c r="A53" s="40">
        <f t="shared" si="8"/>
        <v>0</v>
      </c>
      <c r="B53" s="40">
        <f t="shared" si="1"/>
        <v>0</v>
      </c>
      <c r="C53" s="40">
        <f t="shared" si="2"/>
        <v>0</v>
      </c>
      <c r="D53" s="40">
        <f t="shared" si="3"/>
        <v>0</v>
      </c>
      <c r="E53" s="46" t="str">
        <f t="shared" si="9"/>
        <v>PUT Buy</v>
      </c>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44"/>
      <c r="AY53" s="214">
        <v>50</v>
      </c>
    </row>
    <row r="54" spans="1:51" x14ac:dyDescent="0.3">
      <c r="A54" s="40">
        <f t="shared" si="8"/>
        <v>0</v>
      </c>
      <c r="B54" s="40">
        <f t="shared" si="1"/>
        <v>0</v>
      </c>
      <c r="C54" s="40">
        <f t="shared" si="2"/>
        <v>0</v>
      </c>
      <c r="D54" s="40">
        <f t="shared" si="3"/>
        <v>0</v>
      </c>
      <c r="E54" s="46" t="str">
        <f t="shared" si="9"/>
        <v>PUT Buy</v>
      </c>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44"/>
      <c r="AY54" s="214">
        <v>51</v>
      </c>
    </row>
    <row r="55" spans="1:51" x14ac:dyDescent="0.3">
      <c r="A55" s="40">
        <f t="shared" ref="A55:A63" si="10">F55</f>
        <v>0</v>
      </c>
      <c r="B55" s="40">
        <f t="shared" si="1"/>
        <v>0</v>
      </c>
      <c r="C55" s="40">
        <f t="shared" si="2"/>
        <v>0</v>
      </c>
      <c r="D55" s="40">
        <f t="shared" si="3"/>
        <v>0</v>
      </c>
      <c r="E55" s="46" t="str">
        <f t="shared" si="9"/>
        <v>PUT Buy</v>
      </c>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44"/>
      <c r="AY55" s="214">
        <v>52</v>
      </c>
    </row>
    <row r="56" spans="1:51" x14ac:dyDescent="0.3">
      <c r="A56" s="40">
        <f t="shared" si="10"/>
        <v>0</v>
      </c>
      <c r="B56" s="40">
        <f t="shared" si="1"/>
        <v>0</v>
      </c>
      <c r="C56" s="40">
        <f t="shared" si="2"/>
        <v>0</v>
      </c>
      <c r="D56" s="40">
        <f t="shared" si="3"/>
        <v>0</v>
      </c>
      <c r="E56" s="46" t="str">
        <f t="shared" si="9"/>
        <v>PUT Buy</v>
      </c>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44"/>
      <c r="AY56" s="214">
        <v>53</v>
      </c>
    </row>
    <row r="57" spans="1:51" x14ac:dyDescent="0.3">
      <c r="A57" s="40">
        <f t="shared" si="10"/>
        <v>0</v>
      </c>
      <c r="B57" s="40">
        <f t="shared" si="1"/>
        <v>0</v>
      </c>
      <c r="C57" s="40">
        <f t="shared" si="2"/>
        <v>0</v>
      </c>
      <c r="D57" s="40">
        <f t="shared" si="3"/>
        <v>0</v>
      </c>
      <c r="E57" s="46" t="str">
        <f t="shared" si="9"/>
        <v>PUT Buy</v>
      </c>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44"/>
      <c r="AY57" s="214">
        <v>54</v>
      </c>
    </row>
    <row r="58" spans="1:51" x14ac:dyDescent="0.3">
      <c r="A58" s="47">
        <f t="shared" si="10"/>
        <v>0</v>
      </c>
      <c r="B58" s="47">
        <f t="shared" si="1"/>
        <v>0</v>
      </c>
      <c r="C58" s="47">
        <f t="shared" si="2"/>
        <v>0</v>
      </c>
      <c r="D58" s="47">
        <f t="shared" si="3"/>
        <v>0</v>
      </c>
      <c r="E58" s="46" t="str">
        <f t="shared" si="9"/>
        <v>PUT Buy</v>
      </c>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44"/>
      <c r="AY58" s="214">
        <v>55</v>
      </c>
    </row>
    <row r="59" spans="1:51" x14ac:dyDescent="0.3">
      <c r="A59" s="40">
        <f t="shared" si="10"/>
        <v>0</v>
      </c>
      <c r="B59" s="40">
        <f t="shared" si="1"/>
        <v>0</v>
      </c>
      <c r="C59" s="40">
        <f t="shared" si="2"/>
        <v>0</v>
      </c>
      <c r="D59" s="40">
        <f t="shared" si="3"/>
        <v>0</v>
      </c>
      <c r="E59" s="46" t="str">
        <f t="shared" si="9"/>
        <v>PUT Buy</v>
      </c>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44"/>
      <c r="AY59" s="214">
        <v>56</v>
      </c>
    </row>
    <row r="60" spans="1:51" x14ac:dyDescent="0.3">
      <c r="A60" s="40">
        <f t="shared" si="10"/>
        <v>0</v>
      </c>
      <c r="B60" s="40">
        <f t="shared" si="1"/>
        <v>0</v>
      </c>
      <c r="C60" s="40">
        <f t="shared" si="2"/>
        <v>0</v>
      </c>
      <c r="D60" s="40">
        <f t="shared" si="3"/>
        <v>0</v>
      </c>
      <c r="E60" s="46" t="str">
        <f t="shared" si="9"/>
        <v>PUT Buy</v>
      </c>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44"/>
      <c r="AY60" s="214">
        <v>57</v>
      </c>
    </row>
    <row r="61" spans="1:51" x14ac:dyDescent="0.3">
      <c r="A61" s="40">
        <f t="shared" si="10"/>
        <v>0</v>
      </c>
      <c r="B61" s="40">
        <f t="shared" si="1"/>
        <v>0</v>
      </c>
      <c r="C61" s="40">
        <f t="shared" si="2"/>
        <v>0</v>
      </c>
      <c r="D61" s="40">
        <f t="shared" si="3"/>
        <v>0</v>
      </c>
      <c r="E61" s="46" t="str">
        <f t="shared" si="9"/>
        <v>PUT Buy</v>
      </c>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44"/>
      <c r="AY61" s="214">
        <v>58</v>
      </c>
    </row>
    <row r="62" spans="1:51" x14ac:dyDescent="0.3">
      <c r="A62" s="40">
        <f t="shared" si="10"/>
        <v>0</v>
      </c>
      <c r="B62" s="40">
        <f t="shared" si="1"/>
        <v>0</v>
      </c>
      <c r="C62" s="40">
        <f t="shared" si="2"/>
        <v>0</v>
      </c>
      <c r="D62" s="40">
        <f t="shared" si="3"/>
        <v>0</v>
      </c>
      <c r="E62" s="46" t="str">
        <f t="shared" ref="E62:E87" si="11">IF(D62&gt;1000000," CALL BUY","PUT Buy")</f>
        <v>PUT Buy</v>
      </c>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44"/>
      <c r="AY62" s="214">
        <v>59</v>
      </c>
    </row>
    <row r="63" spans="1:51" x14ac:dyDescent="0.3">
      <c r="A63" s="47">
        <f t="shared" si="10"/>
        <v>0</v>
      </c>
      <c r="B63" s="47">
        <f t="shared" si="1"/>
        <v>0</v>
      </c>
      <c r="C63" s="47">
        <f t="shared" si="2"/>
        <v>0</v>
      </c>
      <c r="D63" s="47">
        <f t="shared" si="3"/>
        <v>0</v>
      </c>
      <c r="E63" s="46" t="str">
        <f t="shared" si="11"/>
        <v>PUT Buy</v>
      </c>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44"/>
      <c r="AY63" s="214">
        <v>60</v>
      </c>
    </row>
    <row r="64" spans="1:51" x14ac:dyDescent="0.3">
      <c r="A64" s="40">
        <f t="shared" ref="A64:A70" si="12">F64</f>
        <v>0</v>
      </c>
      <c r="B64" s="40">
        <f t="shared" si="1"/>
        <v>0</v>
      </c>
      <c r="C64" s="40">
        <f t="shared" si="2"/>
        <v>0</v>
      </c>
      <c r="D64" s="40">
        <f t="shared" si="3"/>
        <v>0</v>
      </c>
      <c r="E64" s="46" t="str">
        <f t="shared" si="11"/>
        <v>PUT Buy</v>
      </c>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44"/>
      <c r="AY64" s="214">
        <v>61</v>
      </c>
    </row>
    <row r="65" spans="1:51" x14ac:dyDescent="0.3">
      <c r="A65" s="40">
        <f t="shared" si="12"/>
        <v>0</v>
      </c>
      <c r="B65" s="40">
        <f t="shared" si="1"/>
        <v>0</v>
      </c>
      <c r="C65" s="40">
        <f t="shared" si="2"/>
        <v>0</v>
      </c>
      <c r="D65" s="40">
        <f t="shared" si="3"/>
        <v>0</v>
      </c>
      <c r="E65" s="46" t="str">
        <f t="shared" si="11"/>
        <v>PUT Buy</v>
      </c>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44"/>
      <c r="AY65" s="214">
        <v>62</v>
      </c>
    </row>
    <row r="66" spans="1:51" x14ac:dyDescent="0.3">
      <c r="A66" s="40">
        <f t="shared" si="12"/>
        <v>0</v>
      </c>
      <c r="B66" s="40">
        <f t="shared" si="1"/>
        <v>0</v>
      </c>
      <c r="C66" s="40">
        <f t="shared" si="2"/>
        <v>0</v>
      </c>
      <c r="D66" s="40">
        <f t="shared" si="3"/>
        <v>0</v>
      </c>
      <c r="E66" s="46" t="str">
        <f t="shared" si="11"/>
        <v>PUT Buy</v>
      </c>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44"/>
      <c r="AY66" s="214">
        <v>63</v>
      </c>
    </row>
    <row r="67" spans="1:51" x14ac:dyDescent="0.3">
      <c r="A67" s="47">
        <f t="shared" si="12"/>
        <v>0</v>
      </c>
      <c r="B67" s="47">
        <f t="shared" si="1"/>
        <v>0</v>
      </c>
      <c r="C67" s="47">
        <f t="shared" si="2"/>
        <v>0</v>
      </c>
      <c r="D67" s="47">
        <f t="shared" si="3"/>
        <v>0</v>
      </c>
      <c r="E67" s="46" t="str">
        <f t="shared" si="11"/>
        <v>PUT Buy</v>
      </c>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44"/>
      <c r="AY67" s="214">
        <v>64</v>
      </c>
    </row>
    <row r="68" spans="1:51" x14ac:dyDescent="0.3">
      <c r="A68" s="40">
        <f t="shared" si="12"/>
        <v>0</v>
      </c>
      <c r="B68" s="40">
        <f t="shared" ref="B68:B77" si="13">SUM(G68:AA68)*75</f>
        <v>0</v>
      </c>
      <c r="C68" s="40">
        <f t="shared" ref="C68:C77" si="14">SUM(AB68:AV68)*75</f>
        <v>0</v>
      </c>
      <c r="D68" s="40">
        <f t="shared" ref="D68:D77" si="15">C68-B68</f>
        <v>0</v>
      </c>
      <c r="E68" s="46" t="str">
        <f t="shared" si="11"/>
        <v>PUT Buy</v>
      </c>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44"/>
      <c r="AY68" s="214">
        <v>65</v>
      </c>
    </row>
    <row r="69" spans="1:51" x14ac:dyDescent="0.3">
      <c r="A69" s="40">
        <f t="shared" si="12"/>
        <v>0</v>
      </c>
      <c r="B69" s="40">
        <f t="shared" si="13"/>
        <v>0</v>
      </c>
      <c r="C69" s="40">
        <f t="shared" si="14"/>
        <v>0</v>
      </c>
      <c r="D69" s="40">
        <f t="shared" si="15"/>
        <v>0</v>
      </c>
      <c r="E69" s="46" t="str">
        <f t="shared" si="11"/>
        <v>PUT Buy</v>
      </c>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44"/>
      <c r="AY69" s="214">
        <v>66</v>
      </c>
    </row>
    <row r="70" spans="1:51" x14ac:dyDescent="0.3">
      <c r="A70" s="40">
        <f t="shared" si="12"/>
        <v>0</v>
      </c>
      <c r="B70" s="40">
        <f t="shared" si="13"/>
        <v>0</v>
      </c>
      <c r="C70" s="40">
        <f t="shared" si="14"/>
        <v>0</v>
      </c>
      <c r="D70" s="40">
        <f t="shared" si="15"/>
        <v>0</v>
      </c>
      <c r="E70" s="46" t="str">
        <f t="shared" si="11"/>
        <v>PUT Buy</v>
      </c>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44"/>
      <c r="AY70" s="214">
        <v>67</v>
      </c>
    </row>
    <row r="71" spans="1:51" x14ac:dyDescent="0.3">
      <c r="A71" s="47">
        <f t="shared" ref="A71:A77" si="16">F71</f>
        <v>0</v>
      </c>
      <c r="B71" s="47">
        <f t="shared" si="13"/>
        <v>0</v>
      </c>
      <c r="C71" s="47">
        <f t="shared" si="14"/>
        <v>0</v>
      </c>
      <c r="D71" s="47">
        <f t="shared" si="15"/>
        <v>0</v>
      </c>
      <c r="E71" s="46" t="str">
        <f t="shared" si="11"/>
        <v>PUT Buy</v>
      </c>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44"/>
      <c r="AY71" s="214">
        <v>68</v>
      </c>
    </row>
    <row r="72" spans="1:51" x14ac:dyDescent="0.3">
      <c r="A72" s="15">
        <f t="shared" si="16"/>
        <v>0</v>
      </c>
      <c r="B72" s="40">
        <f t="shared" si="13"/>
        <v>0</v>
      </c>
      <c r="C72" s="40">
        <f t="shared" si="14"/>
        <v>0</v>
      </c>
      <c r="D72" s="40">
        <f t="shared" si="15"/>
        <v>0</v>
      </c>
      <c r="E72" s="46" t="str">
        <f t="shared" si="11"/>
        <v>PUT Buy</v>
      </c>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44"/>
      <c r="AY72" s="214">
        <v>69</v>
      </c>
    </row>
    <row r="73" spans="1:51" x14ac:dyDescent="0.3">
      <c r="A73" s="15">
        <f t="shared" si="16"/>
        <v>0</v>
      </c>
      <c r="B73" s="40">
        <f t="shared" si="13"/>
        <v>0</v>
      </c>
      <c r="C73" s="40">
        <f t="shared" si="14"/>
        <v>0</v>
      </c>
      <c r="D73" s="40">
        <f t="shared" si="15"/>
        <v>0</v>
      </c>
      <c r="E73" s="46" t="str">
        <f t="shared" si="11"/>
        <v>PUT Buy</v>
      </c>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44"/>
      <c r="AY73" s="214">
        <v>70</v>
      </c>
    </row>
    <row r="74" spans="1:51" x14ac:dyDescent="0.3">
      <c r="A74" s="15">
        <f t="shared" si="16"/>
        <v>0</v>
      </c>
      <c r="B74" s="40">
        <f t="shared" si="13"/>
        <v>0</v>
      </c>
      <c r="C74" s="40">
        <f t="shared" si="14"/>
        <v>0</v>
      </c>
      <c r="D74" s="40">
        <f t="shared" si="15"/>
        <v>0</v>
      </c>
      <c r="E74" s="46" t="str">
        <f t="shared" si="11"/>
        <v>PUT Buy</v>
      </c>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44"/>
      <c r="AY74" s="214">
        <v>71</v>
      </c>
    </row>
    <row r="75" spans="1:51" x14ac:dyDescent="0.3">
      <c r="A75" s="15">
        <f t="shared" si="16"/>
        <v>0</v>
      </c>
      <c r="B75" s="40">
        <f t="shared" si="13"/>
        <v>0</v>
      </c>
      <c r="C75" s="40">
        <f t="shared" si="14"/>
        <v>0</v>
      </c>
      <c r="D75" s="40">
        <f t="shared" si="15"/>
        <v>0</v>
      </c>
      <c r="E75" s="46" t="str">
        <f t="shared" si="11"/>
        <v>PUT Buy</v>
      </c>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44"/>
      <c r="AY75" s="214">
        <v>72</v>
      </c>
    </row>
    <row r="76" spans="1:51" x14ac:dyDescent="0.3">
      <c r="A76" s="48">
        <f t="shared" si="16"/>
        <v>0</v>
      </c>
      <c r="B76" s="47">
        <f t="shared" si="13"/>
        <v>0</v>
      </c>
      <c r="C76" s="47">
        <f t="shared" si="14"/>
        <v>0</v>
      </c>
      <c r="D76" s="47">
        <f t="shared" si="15"/>
        <v>0</v>
      </c>
      <c r="E76" s="46" t="str">
        <f t="shared" si="11"/>
        <v>PUT Buy</v>
      </c>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44"/>
      <c r="AY76" s="214">
        <v>73</v>
      </c>
    </row>
    <row r="77" spans="1:51" x14ac:dyDescent="0.3">
      <c r="A77" s="49">
        <f t="shared" si="16"/>
        <v>0</v>
      </c>
      <c r="B77" s="40">
        <f t="shared" si="13"/>
        <v>0</v>
      </c>
      <c r="C77" s="40">
        <f t="shared" si="14"/>
        <v>0</v>
      </c>
      <c r="D77" s="40">
        <f t="shared" si="15"/>
        <v>0</v>
      </c>
      <c r="E77" s="46" t="str">
        <f t="shared" si="11"/>
        <v>PUT Buy</v>
      </c>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44"/>
      <c r="AY77" s="214">
        <v>74</v>
      </c>
    </row>
    <row r="78" spans="1:51" x14ac:dyDescent="0.3">
      <c r="A78" s="49">
        <f t="shared" ref="A78:A88" si="17">F78</f>
        <v>0</v>
      </c>
      <c r="B78" s="40">
        <f t="shared" ref="B78:B86" si="18">SUM(G78:AA78)*75</f>
        <v>0</v>
      </c>
      <c r="C78" s="40">
        <f t="shared" ref="C78:C86" si="19">SUM(AB78:AV78)*75</f>
        <v>0</v>
      </c>
      <c r="D78" s="40">
        <f t="shared" ref="D78:D86" si="20">C78-B78</f>
        <v>0</v>
      </c>
      <c r="E78" s="46" t="str">
        <f t="shared" si="11"/>
        <v>PUT Buy</v>
      </c>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44"/>
      <c r="AY78" s="214">
        <v>75</v>
      </c>
    </row>
    <row r="79" spans="1:51" x14ac:dyDescent="0.3">
      <c r="A79" s="49">
        <f t="shared" si="17"/>
        <v>0</v>
      </c>
      <c r="B79" s="40">
        <f t="shared" si="18"/>
        <v>0</v>
      </c>
      <c r="C79" s="40">
        <f t="shared" si="19"/>
        <v>0</v>
      </c>
      <c r="D79" s="40">
        <f t="shared" si="20"/>
        <v>0</v>
      </c>
      <c r="E79" s="46" t="str">
        <f t="shared" si="11"/>
        <v>PUT Buy</v>
      </c>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44"/>
      <c r="AY79" s="214">
        <v>76</v>
      </c>
    </row>
    <row r="80" spans="1:51" x14ac:dyDescent="0.3">
      <c r="A80" s="49">
        <f t="shared" si="17"/>
        <v>0</v>
      </c>
      <c r="B80" s="40">
        <f t="shared" si="18"/>
        <v>0</v>
      </c>
      <c r="C80" s="40">
        <f t="shared" si="19"/>
        <v>0</v>
      </c>
      <c r="D80" s="40">
        <f t="shared" si="20"/>
        <v>0</v>
      </c>
      <c r="E80" s="46" t="str">
        <f t="shared" si="11"/>
        <v>PUT Buy</v>
      </c>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44"/>
      <c r="AY80" s="214">
        <v>77</v>
      </c>
    </row>
    <row r="81" spans="1:51 16384:16384" x14ac:dyDescent="0.3">
      <c r="A81" s="50">
        <f t="shared" si="17"/>
        <v>0</v>
      </c>
      <c r="B81" s="47">
        <f t="shared" si="18"/>
        <v>0</v>
      </c>
      <c r="C81" s="47">
        <f t="shared" si="19"/>
        <v>0</v>
      </c>
      <c r="D81" s="47">
        <f t="shared" si="20"/>
        <v>0</v>
      </c>
      <c r="E81" s="46" t="str">
        <f t="shared" si="11"/>
        <v>PUT Buy</v>
      </c>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44"/>
      <c r="AY81" s="214">
        <v>78</v>
      </c>
    </row>
    <row r="82" spans="1:51 16384:16384" x14ac:dyDescent="0.3">
      <c r="A82" s="49">
        <f t="shared" si="17"/>
        <v>0</v>
      </c>
      <c r="B82" s="40">
        <f t="shared" si="18"/>
        <v>0</v>
      </c>
      <c r="C82" s="40">
        <f t="shared" si="19"/>
        <v>0</v>
      </c>
      <c r="D82" s="40">
        <f t="shared" si="20"/>
        <v>0</v>
      </c>
      <c r="E82" s="46" t="str">
        <f t="shared" si="11"/>
        <v>PUT Buy</v>
      </c>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44"/>
      <c r="AY82" s="214">
        <v>79</v>
      </c>
    </row>
    <row r="83" spans="1:51 16384:16384" x14ac:dyDescent="0.3">
      <c r="A83" s="51">
        <f t="shared" si="17"/>
        <v>0</v>
      </c>
      <c r="B83" s="52">
        <f t="shared" si="18"/>
        <v>0</v>
      </c>
      <c r="C83" s="52">
        <f t="shared" si="19"/>
        <v>0</v>
      </c>
      <c r="D83" s="52">
        <f t="shared" si="20"/>
        <v>0</v>
      </c>
      <c r="E83" s="46" t="str">
        <f t="shared" si="11"/>
        <v>PUT Buy</v>
      </c>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44"/>
      <c r="AY83" s="214">
        <v>80</v>
      </c>
    </row>
    <row r="84" spans="1:51 16384:16384" x14ac:dyDescent="0.3">
      <c r="A84" s="49">
        <f t="shared" si="17"/>
        <v>0</v>
      </c>
      <c r="B84" s="40">
        <f t="shared" si="18"/>
        <v>0</v>
      </c>
      <c r="C84" s="40">
        <f t="shared" si="19"/>
        <v>0</v>
      </c>
      <c r="D84" s="40">
        <f t="shared" si="20"/>
        <v>0</v>
      </c>
      <c r="E84" s="46" t="str">
        <f t="shared" si="11"/>
        <v>PUT Buy</v>
      </c>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44"/>
      <c r="AY84" s="214">
        <v>81</v>
      </c>
    </row>
    <row r="85" spans="1:51 16384:16384" x14ac:dyDescent="0.3">
      <c r="A85" s="50">
        <f t="shared" si="17"/>
        <v>0</v>
      </c>
      <c r="B85" s="47">
        <f>SUM(G85:AA85)*75</f>
        <v>0</v>
      </c>
      <c r="C85" s="47">
        <f t="shared" si="19"/>
        <v>0</v>
      </c>
      <c r="D85" s="47">
        <f t="shared" si="20"/>
        <v>0</v>
      </c>
      <c r="E85" s="46" t="str">
        <f t="shared" si="11"/>
        <v>PUT Buy</v>
      </c>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44"/>
      <c r="AY85" s="214">
        <v>82</v>
      </c>
    </row>
    <row r="86" spans="1:51 16384:16384" x14ac:dyDescent="0.3">
      <c r="A86" s="51">
        <f t="shared" si="17"/>
        <v>0</v>
      </c>
      <c r="B86" s="52">
        <f t="shared" si="18"/>
        <v>0</v>
      </c>
      <c r="C86" s="52">
        <f t="shared" si="19"/>
        <v>0</v>
      </c>
      <c r="D86" s="52">
        <f t="shared" si="20"/>
        <v>0</v>
      </c>
      <c r="E86" s="46" t="str">
        <f t="shared" si="11"/>
        <v>PUT Buy</v>
      </c>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44"/>
      <c r="AY86" s="214">
        <v>83</v>
      </c>
    </row>
    <row r="87" spans="1:51 16384:16384" x14ac:dyDescent="0.3">
      <c r="A87" s="51">
        <f t="shared" si="17"/>
        <v>0</v>
      </c>
      <c r="B87" s="52">
        <f>SUM(G87:AA87)*75</f>
        <v>0</v>
      </c>
      <c r="C87" s="52">
        <f>SUM(AB87:AV87)*75</f>
        <v>0</v>
      </c>
      <c r="D87" s="52">
        <f>C87-B87</f>
        <v>0</v>
      </c>
      <c r="E87" s="46" t="str">
        <f t="shared" si="11"/>
        <v>PUT Buy</v>
      </c>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44"/>
      <c r="AY87" s="214">
        <v>84</v>
      </c>
    </row>
    <row r="88" spans="1:51 16384:16384" s="56" customFormat="1" ht="15" thickBot="1" x14ac:dyDescent="0.35">
      <c r="A88" s="61">
        <f t="shared" si="17"/>
        <v>0</v>
      </c>
      <c r="B88" s="62">
        <f>SUM(G88:AA88)*75</f>
        <v>0</v>
      </c>
      <c r="C88" s="62">
        <f>SUM(AB88:AV88)*75</f>
        <v>0</v>
      </c>
      <c r="D88" s="62">
        <f>C88-B88</f>
        <v>0</v>
      </c>
      <c r="E88" s="63" t="str">
        <f>IF(D88&gt;1000000," CALL BUY","PUT Buy")</f>
        <v>PUT Buy</v>
      </c>
      <c r="F88" s="64"/>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60"/>
      <c r="AY88" s="214">
        <v>85</v>
      </c>
    </row>
    <row r="89" spans="1:51 16384:16384" s="56" customFormat="1" ht="15" thickBot="1" x14ac:dyDescent="0.35">
      <c r="B89" s="56">
        <f>SUM(G89:AA89)*75</f>
        <v>26073825</v>
      </c>
      <c r="C89" s="56">
        <f>SUM(AB89:AV89)*75</f>
        <v>26170350</v>
      </c>
      <c r="D89" s="56">
        <f>C89-B89</f>
        <v>96525</v>
      </c>
      <c r="F89" s="57" t="str">
        <f>MID(Time[Value],12,6)</f>
        <v xml:space="preserve"> 09:59</v>
      </c>
      <c r="G89" s="58">
        <f>SUMIF(OptionAnalysis!$H$6:$H$26,'OI Analysis'!G90,OptionAnalysis!$C$6:$C$26)</f>
        <v>-25</v>
      </c>
      <c r="H89" s="58">
        <f>SUMIF(OptionAnalysis!$H$6:$H$26,'OI Analysis'!H90,OptionAnalysis!$C$6:$C$26)</f>
        <v>-7</v>
      </c>
      <c r="I89" s="58">
        <f>SUMIF(OptionAnalysis!$H$6:$H$26,'OI Analysis'!I90,OptionAnalysis!$C$6:$C$26)</f>
        <v>-128</v>
      </c>
      <c r="J89" s="58">
        <f>SUMIF(OptionAnalysis!$H$6:$H$26,'OI Analysis'!J90,OptionAnalysis!$C$6:$C$26)</f>
        <v>-41</v>
      </c>
      <c r="K89" s="58">
        <f>SUMIF(OptionAnalysis!$H$6:$H$26,'OI Analysis'!K90,OptionAnalysis!$C$6:$C$26)</f>
        <v>-103</v>
      </c>
      <c r="L89" s="58">
        <f>SUMIF(OptionAnalysis!$H$6:$H$26,'OI Analysis'!L90,OptionAnalysis!$C$6:$C$26)</f>
        <v>-87</v>
      </c>
      <c r="M89" s="58">
        <f>SUMIF(OptionAnalysis!$H$6:$H$26,'OI Analysis'!M90,OptionAnalysis!$C$6:$C$26)</f>
        <v>-8047</v>
      </c>
      <c r="N89" s="58">
        <f>SUMIF(OptionAnalysis!$H$6:$H$26,'OI Analysis'!N90,OptionAnalysis!$C$6:$C$26)</f>
        <v>-3383</v>
      </c>
      <c r="O89" s="58">
        <f>SUMIF(OptionAnalysis!$H$6:$H$26,'OI Analysis'!O90,OptionAnalysis!$C$6:$C$26)</f>
        <v>-10995</v>
      </c>
      <c r="P89" s="58">
        <f>SUMIF(OptionAnalysis!$H$6:$H$26,'OI Analysis'!P90,OptionAnalysis!$C$6:$C$26)</f>
        <v>-1940</v>
      </c>
      <c r="Q89" s="58">
        <f>SUMIF(OptionAnalysis!$H$6:$H$26,'OI Analysis'!Q90,OptionAnalysis!$C$6:$C$26)</f>
        <v>27748</v>
      </c>
      <c r="R89" s="58">
        <f>SUMIF(OptionAnalysis!$H$6:$H$26,'OI Analysis'!R90,OptionAnalysis!$C$6:$C$26)</f>
        <v>50794</v>
      </c>
      <c r="S89" s="58">
        <f>SUMIF(OptionAnalysis!$H$6:$H$26,'OI Analysis'!S90,OptionAnalysis!$C$6:$C$26)</f>
        <v>108256</v>
      </c>
      <c r="T89" s="58">
        <f>SUMIF(OptionAnalysis!$H$6:$H$26,'OI Analysis'!T90,OptionAnalysis!$C$6:$C$26)</f>
        <v>28681</v>
      </c>
      <c r="U89" s="58">
        <f>SUMIF(OptionAnalysis!$H$6:$H$26,'OI Analysis'!U90,OptionAnalysis!$C$6:$C$26)</f>
        <v>25452</v>
      </c>
      <c r="V89" s="58">
        <f>SUMIF(OptionAnalysis!$H$6:$H$26,'OI Analysis'!V90,OptionAnalysis!$C$6:$C$26)</f>
        <v>26018</v>
      </c>
      <c r="W89" s="58">
        <f>SUMIF(OptionAnalysis!$H$6:$H$26,'OI Analysis'!W90,OptionAnalysis!$C$6:$C$26)</f>
        <v>27461</v>
      </c>
      <c r="X89" s="58">
        <f>SUMIF(OptionAnalysis!$H$6:$H$26,'OI Analysis'!X90,OptionAnalysis!$C$6:$C$26)</f>
        <v>13596</v>
      </c>
      <c r="Y89" s="58">
        <f>SUMIF(OptionAnalysis!$H$6:$H$26,'OI Analysis'!Y90,OptionAnalysis!$C$6:$C$26)</f>
        <v>31436</v>
      </c>
      <c r="Z89" s="58">
        <f>SUMIF(OptionAnalysis!$H$6:$H$26,'OI Analysis'!Z90,OptionAnalysis!$C$6:$C$26)</f>
        <v>7181</v>
      </c>
      <c r="AA89" s="59">
        <f>SUMIF(OptionAnalysis!$H$6:$H$26,'OI Analysis'!AA90,OptionAnalysis!$C$6:$C$26)</f>
        <v>25784</v>
      </c>
      <c r="AB89" s="29">
        <f>SUMIF(OptionAnalysis!$H$6:$H$26,'OI Analysis'!AB90,OptionAnalysis!$M$6:$M$26)</f>
        <v>11369</v>
      </c>
      <c r="AC89" s="29">
        <f>SUMIF(OptionAnalysis!$H$6:$H$26,'OI Analysis'!AC90,OptionAnalysis!$M$6:$M$26)</f>
        <v>-8574</v>
      </c>
      <c r="AD89" s="29">
        <f>SUMIF(OptionAnalysis!$H$6:$H$26,'OI Analysis'!AD90,OptionAnalysis!$M$6:$M$26)</f>
        <v>12744</v>
      </c>
      <c r="AE89" s="29">
        <f>SUMIF(OptionAnalysis!$H$6:$H$26,'OI Analysis'!AE90,OptionAnalysis!$M$6:$M$26)</f>
        <v>2355</v>
      </c>
      <c r="AF89" s="29">
        <f>SUMIF(OptionAnalysis!$H$6:$H$26,'OI Analysis'!AF90,OptionAnalysis!$M$6:$M$26)</f>
        <v>27359</v>
      </c>
      <c r="AG89" s="29">
        <f>SUMIF(OptionAnalysis!$H$6:$H$26,'OI Analysis'!AG90,OptionAnalysis!$M$6:$M$26)</f>
        <v>20931</v>
      </c>
      <c r="AH89" s="29">
        <f>SUMIF(OptionAnalysis!$H$6:$H$26,'OI Analysis'!AH90,OptionAnalysis!$M$6:$M$26)</f>
        <v>43162</v>
      </c>
      <c r="AI89" s="29">
        <f>SUMIF(OptionAnalysis!$H$6:$H$26,'OI Analysis'!AI90,OptionAnalysis!$M$6:$M$26)</f>
        <v>-2005</v>
      </c>
      <c r="AJ89" s="29">
        <f>SUMIF(OptionAnalysis!$H$6:$H$26,'OI Analysis'!AJ90,OptionAnalysis!$M$6:$M$26)</f>
        <v>26626</v>
      </c>
      <c r="AK89" s="29">
        <f>SUMIF(OptionAnalysis!$H$6:$H$26,'OI Analysis'!AK90,OptionAnalysis!$M$6:$M$26)</f>
        <v>27349</v>
      </c>
      <c r="AL89" s="29">
        <f>SUMIF(OptionAnalysis!$H$6:$H$26,'OI Analysis'!AL90,OptionAnalysis!$M$6:$M$26)</f>
        <v>62658</v>
      </c>
      <c r="AM89" s="29">
        <f>SUMIF(OptionAnalysis!$H$6:$H$26,'OI Analysis'!AM90,OptionAnalysis!$M$6:$M$26)</f>
        <v>49942</v>
      </c>
      <c r="AN89" s="29">
        <f>SUMIF(OptionAnalysis!$H$6:$H$26,'OI Analysis'!AN90,OptionAnalysis!$M$6:$M$26)</f>
        <v>46861</v>
      </c>
      <c r="AO89" s="29">
        <f>SUMIF(OptionAnalysis!$H$6:$H$26,'OI Analysis'!AO90,OptionAnalysis!$M$6:$M$26)</f>
        <v>11054</v>
      </c>
      <c r="AP89" s="29">
        <f>SUMIF(OptionAnalysis!$H$6:$H$26,'OI Analysis'!AP90,OptionAnalysis!$M$6:$M$26)</f>
        <v>13935</v>
      </c>
      <c r="AQ89" s="29">
        <f>SUMIF(OptionAnalysis!$H$6:$H$26,'OI Analysis'!AQ90,OptionAnalysis!$M$6:$M$26)</f>
        <v>1851</v>
      </c>
      <c r="AR89" s="29">
        <f>SUMIF(OptionAnalysis!$H$6:$H$26,'OI Analysis'!AR90,OptionAnalysis!$M$6:$M$26)</f>
        <v>920</v>
      </c>
      <c r="AS89" s="29">
        <f>SUMIF(OptionAnalysis!$H$6:$H$26,'OI Analysis'!AS90,OptionAnalysis!$M$6:$M$26)</f>
        <v>10</v>
      </c>
      <c r="AT89" s="29">
        <f>SUMIF(OptionAnalysis!$H$6:$H$26,'OI Analysis'!AT90,OptionAnalysis!$M$6:$M$26)</f>
        <v>109</v>
      </c>
      <c r="AU89" s="29">
        <f>SUMIF(OptionAnalysis!$H$6:$H$26,'OI Analysis'!AU90,OptionAnalysis!$M$6:$M$26)</f>
        <v>199</v>
      </c>
      <c r="AV89" s="60">
        <f>SUMIF(OptionAnalysis!$H$6:$H$26,'OI Analysis'!AV90,OptionAnalysis!$M$6:$M$26)</f>
        <v>83</v>
      </c>
      <c r="AY89" s="214">
        <v>86</v>
      </c>
      <c r="XFD89" s="29">
        <f>SUMIF(OptionAnalysis!$H$6:$H$26,'OI Analysis'!XFD90,OptionAnalysis!$M$6:$M$26)</f>
        <v>0</v>
      </c>
    </row>
    <row r="90" spans="1:51 16384:16384" s="56" customFormat="1" ht="15" thickBot="1" x14ac:dyDescent="0.35">
      <c r="A90" s="65" t="s">
        <v>45</v>
      </c>
      <c r="B90" s="65" t="s">
        <v>55</v>
      </c>
      <c r="C90" s="65" t="s">
        <v>56</v>
      </c>
      <c r="D90" s="65" t="s">
        <v>57</v>
      </c>
      <c r="E90" s="65" t="s">
        <v>58</v>
      </c>
      <c r="F90" s="66" t="s">
        <v>45</v>
      </c>
      <c r="G90" s="67">
        <f>OptionAnalysis!H6</f>
        <v>17700</v>
      </c>
      <c r="H90" s="67">
        <f>G90+50</f>
        <v>17750</v>
      </c>
      <c r="I90" s="67">
        <f>H90+50</f>
        <v>17800</v>
      </c>
      <c r="J90" s="67">
        <f t="shared" ref="J90:S90" si="21">I90+50</f>
        <v>17850</v>
      </c>
      <c r="K90" s="67">
        <f t="shared" si="21"/>
        <v>17900</v>
      </c>
      <c r="L90" s="67">
        <f t="shared" si="21"/>
        <v>17950</v>
      </c>
      <c r="M90" s="67">
        <f t="shared" si="21"/>
        <v>18000</v>
      </c>
      <c r="N90" s="67">
        <f t="shared" si="21"/>
        <v>18050</v>
      </c>
      <c r="O90" s="67">
        <f t="shared" si="21"/>
        <v>18100</v>
      </c>
      <c r="P90" s="67">
        <f t="shared" si="21"/>
        <v>18150</v>
      </c>
      <c r="Q90" s="67">
        <f t="shared" si="21"/>
        <v>18200</v>
      </c>
      <c r="R90" s="67">
        <f t="shared" si="21"/>
        <v>18250</v>
      </c>
      <c r="S90" s="67">
        <f t="shared" si="21"/>
        <v>18300</v>
      </c>
      <c r="T90" s="67">
        <f>S90+50</f>
        <v>18350</v>
      </c>
      <c r="U90" s="67">
        <f>T90+50</f>
        <v>18400</v>
      </c>
      <c r="V90" s="67">
        <f t="shared" ref="V90" si="22">U90+50</f>
        <v>18450</v>
      </c>
      <c r="W90" s="67">
        <f>V90+50</f>
        <v>18500</v>
      </c>
      <c r="X90" s="67">
        <f>W90+50</f>
        <v>18550</v>
      </c>
      <c r="Y90" s="67">
        <f>X90+50</f>
        <v>18600</v>
      </c>
      <c r="Z90" s="67">
        <f>Y90+50</f>
        <v>18650</v>
      </c>
      <c r="AA90" s="67">
        <f>Z90+50</f>
        <v>18700</v>
      </c>
      <c r="AB90" s="67">
        <f>OptionAnalysis!H6</f>
        <v>17700</v>
      </c>
      <c r="AC90" s="67">
        <f>AB90+50</f>
        <v>17750</v>
      </c>
      <c r="AD90" s="67">
        <f>AC90+50</f>
        <v>17800</v>
      </c>
      <c r="AE90" s="67">
        <f t="shared" ref="AE90:AV90" si="23">AD90+50</f>
        <v>17850</v>
      </c>
      <c r="AF90" s="67">
        <f t="shared" si="23"/>
        <v>17900</v>
      </c>
      <c r="AG90" s="67">
        <f t="shared" si="23"/>
        <v>17950</v>
      </c>
      <c r="AH90" s="67">
        <f t="shared" si="23"/>
        <v>18000</v>
      </c>
      <c r="AI90" s="67">
        <f t="shared" si="23"/>
        <v>18050</v>
      </c>
      <c r="AJ90" s="67">
        <f t="shared" si="23"/>
        <v>18100</v>
      </c>
      <c r="AK90" s="67">
        <f t="shared" si="23"/>
        <v>18150</v>
      </c>
      <c r="AL90" s="67">
        <f t="shared" si="23"/>
        <v>18200</v>
      </c>
      <c r="AM90" s="67">
        <f t="shared" si="23"/>
        <v>18250</v>
      </c>
      <c r="AN90" s="67">
        <f t="shared" si="23"/>
        <v>18300</v>
      </c>
      <c r="AO90" s="67">
        <f t="shared" si="23"/>
        <v>18350</v>
      </c>
      <c r="AP90" s="67">
        <f t="shared" si="23"/>
        <v>18400</v>
      </c>
      <c r="AQ90" s="67">
        <f t="shared" si="23"/>
        <v>18450</v>
      </c>
      <c r="AR90" s="67">
        <f t="shared" si="23"/>
        <v>18500</v>
      </c>
      <c r="AS90" s="67">
        <f t="shared" si="23"/>
        <v>18550</v>
      </c>
      <c r="AT90" s="67">
        <f t="shared" si="23"/>
        <v>18600</v>
      </c>
      <c r="AU90" s="67">
        <f t="shared" si="23"/>
        <v>18650</v>
      </c>
      <c r="AV90" s="67">
        <f t="shared" si="23"/>
        <v>18700</v>
      </c>
      <c r="AY90" s="56" t="s">
        <v>107</v>
      </c>
    </row>
    <row r="91" spans="1:51 16384:16384" x14ac:dyDescent="0.3">
      <c r="F91" s="53"/>
      <c r="G91" s="410" t="s">
        <v>46</v>
      </c>
      <c r="H91" s="410"/>
      <c r="I91" s="410"/>
      <c r="J91" s="410"/>
      <c r="K91" s="410"/>
      <c r="L91" s="410"/>
      <c r="M91" s="410"/>
      <c r="N91" s="410"/>
      <c r="O91" s="410"/>
      <c r="P91" s="410"/>
      <c r="Q91" s="410"/>
      <c r="R91" s="410"/>
      <c r="S91" s="410"/>
      <c r="T91" s="410"/>
      <c r="U91" s="410"/>
      <c r="V91" s="410"/>
      <c r="W91" s="410"/>
      <c r="X91" s="410"/>
      <c r="Y91" s="410"/>
      <c r="Z91" s="410"/>
      <c r="AA91" s="410"/>
      <c r="AB91" s="409" t="s">
        <v>53</v>
      </c>
      <c r="AC91" s="409"/>
      <c r="AD91" s="409"/>
      <c r="AE91" s="409"/>
      <c r="AF91" s="409"/>
      <c r="AG91" s="409"/>
      <c r="AH91" s="409"/>
      <c r="AI91" s="409"/>
      <c r="AJ91" s="409"/>
      <c r="AK91" s="409"/>
      <c r="AL91" s="409"/>
      <c r="AM91" s="409"/>
      <c r="AN91" s="409"/>
      <c r="AO91" s="409"/>
      <c r="AP91" s="409"/>
      <c r="AQ91" s="409"/>
      <c r="AR91" s="409"/>
      <c r="AS91" s="409"/>
      <c r="AT91" s="409"/>
      <c r="AU91" s="409"/>
      <c r="AV91" s="409"/>
    </row>
    <row r="93" spans="1:51 16384:16384" x14ac:dyDescent="0.3">
      <c r="B93" s="54" t="s">
        <v>21</v>
      </c>
      <c r="C93" s="10">
        <f>'NiftyOption Chain'!F2</f>
        <v>18222.349999999999</v>
      </c>
      <c r="AF93" s="10">
        <f>28044*75</f>
        <v>2103300</v>
      </c>
    </row>
    <row r="97" spans="5:13" x14ac:dyDescent="0.3">
      <c r="M97" s="10">
        <v>864825</v>
      </c>
    </row>
    <row r="98" spans="5:13" x14ac:dyDescent="0.3">
      <c r="H98" s="408"/>
      <c r="I98" s="408"/>
      <c r="M98" s="10">
        <v>2106675</v>
      </c>
    </row>
    <row r="100" spans="5:13" x14ac:dyDescent="0.3">
      <c r="E100" s="408"/>
      <c r="F100" s="408"/>
      <c r="G100" s="408"/>
      <c r="H100" s="408"/>
      <c r="I100" s="408"/>
      <c r="J100" s="408"/>
    </row>
    <row r="101" spans="5:13" x14ac:dyDescent="0.3">
      <c r="G101" s="55"/>
      <c r="H101" s="55"/>
    </row>
  </sheetData>
  <mergeCells count="5">
    <mergeCell ref="E100:F100"/>
    <mergeCell ref="G100:J100"/>
    <mergeCell ref="AB91:AV91"/>
    <mergeCell ref="G91:AA91"/>
    <mergeCell ref="H98:I98"/>
  </mergeCells>
  <phoneticPr fontId="3" type="noConversion"/>
  <conditionalFormatting sqref="E20:E88">
    <cfRule type="containsText" dxfId="55" priority="1" operator="containsText" text="CALL Buy">
      <formula>NOT(ISERROR(SEARCH("CALL Buy",E20)))</formula>
    </cfRule>
    <cfRule type="containsText" dxfId="54" priority="2" operator="containsText" text="PUT Buy">
      <formula>NOT(ISERROR(SEARCH("PUT Buy",E20)))</formula>
    </cfRule>
  </conditionalFormatting>
  <pageMargins left="0.7" right="0.7" top="0.75" bottom="0.75" header="0.3" footer="0.3"/>
  <pageSetup orientation="portrait" r:id="rId1"/>
  <ignoredErrors>
    <ignoredError sqref="B88:C88 B82:B87 C82:C87 B73:C81 B46:C72 B43:B45 C43:C45 B38:C42" formulaRange="1"/>
    <ignoredError sqref="AB90"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8CEFA-3798-4097-A1A7-457033093AD7}">
  <sheetPr codeName="Sheet2"/>
  <dimension ref="A1:AB30"/>
  <sheetViews>
    <sheetView showGridLines="0" zoomScaleNormal="100" workbookViewId="0">
      <selection activeCell="D2" sqref="D2:G3"/>
    </sheetView>
  </sheetViews>
  <sheetFormatPr defaultColWidth="8.88671875" defaultRowHeight="14.4" x14ac:dyDescent="0.3"/>
  <cols>
    <col min="1" max="1" width="17.44140625" style="10" customWidth="1"/>
    <col min="2" max="2" width="11.44140625" style="10" bestFit="1" customWidth="1"/>
    <col min="3" max="3" width="13.109375" style="10" customWidth="1"/>
    <col min="4" max="4" width="11.5546875" style="10" customWidth="1"/>
    <col min="5" max="5" width="13.44140625" style="10" customWidth="1"/>
    <col min="6" max="7" width="8.88671875" style="10"/>
    <col min="8" max="8" width="12.33203125" style="10" customWidth="1"/>
    <col min="9" max="10" width="8.88671875" style="10"/>
    <col min="11" max="11" width="13.6640625" style="10" customWidth="1"/>
    <col min="12" max="12" width="12.6640625" style="10" customWidth="1"/>
    <col min="13" max="13" width="14.6640625" style="10" customWidth="1"/>
    <col min="14" max="14" width="10" style="10" bestFit="1" customWidth="1"/>
    <col min="15" max="15" width="15.5546875" style="10" customWidth="1"/>
    <col min="16" max="16" width="9.5546875" style="228" customWidth="1"/>
    <col min="17" max="17" width="6.33203125" style="228" customWidth="1"/>
    <col min="18" max="18" width="11" style="228" bestFit="1" customWidth="1"/>
    <col min="19" max="16384" width="8.88671875" style="10"/>
  </cols>
  <sheetData>
    <row r="1" spans="1:28" ht="15" thickBot="1" x14ac:dyDescent="0.35">
      <c r="A1" s="83"/>
      <c r="B1" s="83"/>
      <c r="C1" s="83"/>
      <c r="D1" s="83"/>
      <c r="E1" s="83"/>
      <c r="F1" s="83"/>
      <c r="G1" s="83"/>
      <c r="H1" s="83"/>
      <c r="I1" s="83"/>
      <c r="J1" s="83"/>
      <c r="K1" s="83"/>
      <c r="L1" s="83"/>
      <c r="M1" s="83"/>
      <c r="N1" s="83"/>
      <c r="O1" s="83"/>
      <c r="P1" s="83"/>
      <c r="Q1" s="83"/>
      <c r="R1" s="83"/>
    </row>
    <row r="2" spans="1:28" ht="14.4" customHeight="1" thickBot="1" x14ac:dyDescent="0.35">
      <c r="A2" s="414" t="s">
        <v>75</v>
      </c>
      <c r="B2" s="83"/>
      <c r="C2" s="83"/>
      <c r="D2" s="426" t="s">
        <v>74</v>
      </c>
      <c r="E2" s="427"/>
      <c r="F2" s="427"/>
      <c r="G2" s="428"/>
      <c r="H2" s="83"/>
      <c r="I2" s="83"/>
      <c r="J2" s="83"/>
      <c r="K2" s="2" t="s">
        <v>17</v>
      </c>
      <c r="L2" s="3" t="str">
        <f>IFERROR('NiftyOption Chain'!E4,"")</f>
        <v>10-Nov-2022</v>
      </c>
      <c r="M2" s="420" t="s">
        <v>44</v>
      </c>
      <c r="N2" s="421"/>
      <c r="O2" s="83"/>
      <c r="P2" s="83"/>
      <c r="Q2" s="83"/>
      <c r="R2" s="83"/>
      <c r="S2" s="411" t="s">
        <v>79</v>
      </c>
      <c r="T2" s="412"/>
      <c r="U2" s="413"/>
    </row>
    <row r="3" spans="1:28" ht="14.4" customHeight="1" thickBot="1" x14ac:dyDescent="0.35">
      <c r="A3" s="415"/>
      <c r="B3" s="83"/>
      <c r="C3" s="83"/>
      <c r="D3" s="429"/>
      <c r="E3" s="430"/>
      <c r="F3" s="430"/>
      <c r="G3" s="431"/>
      <c r="H3" s="83"/>
      <c r="I3" s="83"/>
      <c r="J3" s="83"/>
      <c r="K3" s="422" t="s">
        <v>42</v>
      </c>
      <c r="L3" s="423"/>
      <c r="M3" s="416">
        <f>'NiftyOption Chain'!F2</f>
        <v>18222.349999999999</v>
      </c>
      <c r="N3" s="417"/>
      <c r="O3" s="83"/>
      <c r="P3" s="83"/>
      <c r="Q3" s="83"/>
      <c r="R3" s="83"/>
      <c r="S3" s="96"/>
      <c r="T3" s="96"/>
      <c r="U3" s="96"/>
      <c r="V3" s="95"/>
    </row>
    <row r="4" spans="1:28" ht="15" customHeight="1" thickBot="1" x14ac:dyDescent="0.35">
      <c r="A4" s="83"/>
      <c r="B4" s="83"/>
      <c r="C4" s="83"/>
      <c r="D4" s="4"/>
      <c r="E4" s="5"/>
      <c r="F4" s="5"/>
      <c r="G4" s="6"/>
      <c r="H4" s="83"/>
      <c r="I4" s="83"/>
      <c r="J4" s="83"/>
      <c r="K4" s="424"/>
      <c r="L4" s="425"/>
      <c r="M4" s="418"/>
      <c r="N4" s="419"/>
      <c r="O4" s="83"/>
      <c r="P4" s="83"/>
      <c r="Q4" s="83"/>
      <c r="R4" s="83"/>
    </row>
    <row r="5" spans="1:28" s="68" customFormat="1" ht="27.6" customHeight="1" thickBot="1" x14ac:dyDescent="0.35">
      <c r="A5" s="208" t="s">
        <v>34</v>
      </c>
      <c r="B5" s="209" t="s">
        <v>35</v>
      </c>
      <c r="C5" s="210" t="s">
        <v>64</v>
      </c>
      <c r="D5" s="211" t="s">
        <v>66</v>
      </c>
      <c r="E5" s="209" t="s">
        <v>36</v>
      </c>
      <c r="F5" s="209" t="s">
        <v>37</v>
      </c>
      <c r="G5" s="209" t="s">
        <v>38</v>
      </c>
      <c r="H5" s="209" t="s">
        <v>39</v>
      </c>
      <c r="I5" s="209" t="s">
        <v>38</v>
      </c>
      <c r="J5" s="209" t="s">
        <v>37</v>
      </c>
      <c r="K5" s="209" t="s">
        <v>22</v>
      </c>
      <c r="L5" s="209" t="s">
        <v>67</v>
      </c>
      <c r="M5" s="209" t="s">
        <v>65</v>
      </c>
      <c r="N5" s="209" t="s">
        <v>35</v>
      </c>
      <c r="O5" s="249" t="s">
        <v>34</v>
      </c>
      <c r="P5" s="252" t="s">
        <v>121</v>
      </c>
      <c r="Q5" s="253" t="s">
        <v>48</v>
      </c>
      <c r="R5" s="254" t="s">
        <v>120</v>
      </c>
    </row>
    <row r="6" spans="1:28" ht="15.6" x14ac:dyDescent="0.3">
      <c r="A6" s="69" t="str">
        <f>INDEX('NiftyOption Chain'!$C$4:$C$143,MATCH(OptionAnalysis!$H6,'NiftyOption Chain'!$L$4:$L$143,0),1)</f>
        <v>Short Covering</v>
      </c>
      <c r="B6" s="230">
        <f>SUMIF('NiftyOption Chain'!$L$4:$L$142,OptionAnalysis!H6,'NiftyOption Chain'!$F$4:$F$143)</f>
        <v>3209</v>
      </c>
      <c r="C6" s="230">
        <f>SUMIF('NiftyOption Chain'!$L$4:$L$142,OptionAnalysis!H6,'NiftyOption Chain'!$G$4:$G$143)</f>
        <v>-25</v>
      </c>
      <c r="D6" s="70">
        <f>SUMIF('NiftyOption Chain'!$L$4:$L$142,OptionAnalysis!H6,'NiftyOption Chain'!$H$4:$H$143)</f>
        <v>594</v>
      </c>
      <c r="E6" s="70">
        <f>SUMIF('NiftyOption Chain'!$L$4:$L$142,OptionAnalysis!H6,'NiftyOption Chain'!$K$4:$K$143)</f>
        <v>8</v>
      </c>
      <c r="F6" s="70">
        <f>SUMIF('NiftyOption Chain'!$L$4:$L$142,OptionAnalysis!H6,'NiftyOption Chain'!$J$4:$J$143)</f>
        <v>525.1</v>
      </c>
      <c r="G6" s="70">
        <f>SUMIF('NiftyOption Chain'!$L$4:$L$142,OptionAnalysis!H6,'NiftyOption Chain'!$I$4:$I$143)</f>
        <v>34.18</v>
      </c>
      <c r="H6" s="7">
        <f t="shared" ref="H6:H13" si="0">H7-50</f>
        <v>17700</v>
      </c>
      <c r="I6" s="71">
        <f>SUMIF('NiftyOption Chain'!$L$4:$L$142,OptionAnalysis!H6,'NiftyOption Chain'!$O$4:$O$143)</f>
        <v>27.63</v>
      </c>
      <c r="J6" s="71">
        <f>SUMIF('NiftyOption Chain'!$L$4:$L$142,OptionAnalysis!H6,'NiftyOption Chain'!$N$4:$N$143)</f>
        <v>2.0499999999999998</v>
      </c>
      <c r="K6" s="71">
        <f>SUMIF('NiftyOption Chain'!$L$4:$L$142,OptionAnalysis!H6,'NiftyOption Chain'!$M$4:$M$143)</f>
        <v>-1.3000000000000005</v>
      </c>
      <c r="L6" s="232">
        <f>SUMIF('NiftyOption Chain'!$L$4:$L$142,OptionAnalysis!H6,'NiftyOption Chain'!$P$4:$P$143)</f>
        <v>169037</v>
      </c>
      <c r="M6" s="232">
        <f>SUMIF('NiftyOption Chain'!$L$4:$L$142,OptionAnalysis!H6,'NiftyOption Chain'!$Q$4:$Q$143)</f>
        <v>11369</v>
      </c>
      <c r="N6" s="232">
        <f>SUMIF('NiftyOption Chain'!$L$4:$L$142,OptionAnalysis!H6,'NiftyOption Chain'!$R$4:$R$143)</f>
        <v>76111</v>
      </c>
      <c r="O6" s="250" t="str">
        <f>INDEX('NiftyOption Chain'!$V$4:$V$143,MATCH(OptionAnalysis!$H6,'NiftyOption Chain'!$L$4:$L$143,0),1)</f>
        <v>Short Build UP</v>
      </c>
      <c r="P6" s="71">
        <f>H6</f>
        <v>17700</v>
      </c>
      <c r="Q6" s="71">
        <f>N6/B6</f>
        <v>23.717980679339359</v>
      </c>
      <c r="R6" s="232">
        <f>N6-B6</f>
        <v>72902</v>
      </c>
    </row>
    <row r="7" spans="1:28" ht="15.6" x14ac:dyDescent="0.3">
      <c r="A7" s="69" t="str">
        <f>INDEX('NiftyOption Chain'!$C$4:$C$143,MATCH(OptionAnalysis!$H7,'NiftyOption Chain'!$L$4:$L$143,0),1)</f>
        <v>Short Covering</v>
      </c>
      <c r="B7" s="230">
        <f>SUMIF('NiftyOption Chain'!$L$4:$L$142,OptionAnalysis!H7,'NiftyOption Chain'!$F$4:$F$143)</f>
        <v>4075</v>
      </c>
      <c r="C7" s="230">
        <f>SUMIF('NiftyOption Chain'!$L$4:$L$142,OptionAnalysis!H7,'NiftyOption Chain'!$G$4:$G$143)</f>
        <v>-7</v>
      </c>
      <c r="D7" s="70">
        <f>SUMIF('NiftyOption Chain'!$L$4:$L$142,OptionAnalysis!H7,'NiftyOption Chain'!$H$4:$H$143)</f>
        <v>150</v>
      </c>
      <c r="E7" s="70">
        <f>SUMIF('NiftyOption Chain'!$L$4:$L$142,OptionAnalysis!H7,'NiftyOption Chain'!$K$4:$K$143)</f>
        <v>12.649999999999975</v>
      </c>
      <c r="F7" s="70">
        <f>SUMIF('NiftyOption Chain'!$L$4:$L$142,OptionAnalysis!H7,'NiftyOption Chain'!$J$4:$J$143)</f>
        <v>481.5</v>
      </c>
      <c r="G7" s="70">
        <f>SUMIF('NiftyOption Chain'!$L$4:$L$142,OptionAnalysis!H7,'NiftyOption Chain'!$I$4:$I$143)</f>
        <v>30.86</v>
      </c>
      <c r="H7" s="7">
        <f t="shared" si="0"/>
        <v>17750</v>
      </c>
      <c r="I7" s="71">
        <f>SUMIF('NiftyOption Chain'!$L$4:$L$142,OptionAnalysis!H7,'NiftyOption Chain'!$O$4:$O$143)</f>
        <v>25.96</v>
      </c>
      <c r="J7" s="71">
        <f>SUMIF('NiftyOption Chain'!$L$4:$L$142,OptionAnalysis!H7,'NiftyOption Chain'!$N$4:$N$143)</f>
        <v>2.4</v>
      </c>
      <c r="K7" s="71">
        <f>SUMIF('NiftyOption Chain'!$L$4:$L$142,OptionAnalysis!H7,'NiftyOption Chain'!$M$4:$M$143)</f>
        <v>-1.6</v>
      </c>
      <c r="L7" s="232">
        <f>SUMIF('NiftyOption Chain'!$L$4:$L$142,OptionAnalysis!H7,'NiftyOption Chain'!$P$4:$P$143)</f>
        <v>90987</v>
      </c>
      <c r="M7" s="232">
        <f>SUMIF('NiftyOption Chain'!$L$4:$L$142,OptionAnalysis!H7,'NiftyOption Chain'!$Q$4:$Q$143)</f>
        <v>-8574</v>
      </c>
      <c r="N7" s="232">
        <f>SUMIF('NiftyOption Chain'!$L$4:$L$142,OptionAnalysis!H7,'NiftyOption Chain'!$R$4:$R$143)</f>
        <v>31737</v>
      </c>
      <c r="O7" s="250" t="str">
        <f>INDEX('NiftyOption Chain'!$V$4:$V$143,MATCH(OptionAnalysis!$H7,'NiftyOption Chain'!$L$4:$L$143,0),1)</f>
        <v>Long Liquidation</v>
      </c>
      <c r="P7" s="27">
        <f t="shared" ref="P7:P26" si="1">H7</f>
        <v>17750</v>
      </c>
      <c r="Q7" s="27">
        <f t="shared" ref="Q7:Q26" si="2">N7/B7</f>
        <v>7.7882208588957056</v>
      </c>
      <c r="R7" s="251">
        <f t="shared" ref="R7:R26" si="3">N7-B7</f>
        <v>27662</v>
      </c>
    </row>
    <row r="8" spans="1:28" ht="15.6" x14ac:dyDescent="0.3">
      <c r="A8" s="69" t="str">
        <f>INDEX('NiftyOption Chain'!$C$4:$C$143,MATCH(OptionAnalysis!$H8,'NiftyOption Chain'!$L$4:$L$143,0),1)</f>
        <v>Short Covering</v>
      </c>
      <c r="B8" s="230">
        <f>SUMIF('NiftyOption Chain'!$L$4:$L$142,OptionAnalysis!H8,'NiftyOption Chain'!$F$4:$F$143)</f>
        <v>11168</v>
      </c>
      <c r="C8" s="230">
        <f>SUMIF('NiftyOption Chain'!$L$4:$L$142,OptionAnalysis!H8,'NiftyOption Chain'!$G$4:$G$143)</f>
        <v>-128</v>
      </c>
      <c r="D8" s="70">
        <f>SUMIF('NiftyOption Chain'!$L$4:$L$142,OptionAnalysis!H8,'NiftyOption Chain'!$H$4:$H$143)</f>
        <v>1602</v>
      </c>
      <c r="E8" s="70">
        <f>SUMIF('NiftyOption Chain'!$L$4:$L$142,OptionAnalysis!H8,'NiftyOption Chain'!$K$4:$K$143)</f>
        <v>6.9000000000000341</v>
      </c>
      <c r="F8" s="70">
        <f>SUMIF('NiftyOption Chain'!$L$4:$L$142,OptionAnalysis!H8,'NiftyOption Chain'!$J$4:$J$143)</f>
        <v>427.05</v>
      </c>
      <c r="G8" s="70">
        <f>SUMIF('NiftyOption Chain'!$L$4:$L$142,OptionAnalysis!H8,'NiftyOption Chain'!$I$4:$I$143)</f>
        <v>29.17</v>
      </c>
      <c r="H8" s="7">
        <f t="shared" si="0"/>
        <v>17800</v>
      </c>
      <c r="I8" s="71">
        <f>SUMIF('NiftyOption Chain'!$L$4:$L$142,OptionAnalysis!H8,'NiftyOption Chain'!$O$4:$O$143)</f>
        <v>24.34</v>
      </c>
      <c r="J8" s="71">
        <f>SUMIF('NiftyOption Chain'!$L$4:$L$142,OptionAnalysis!H8,'NiftyOption Chain'!$N$4:$N$143)</f>
        <v>2.95</v>
      </c>
      <c r="K8" s="71">
        <f>SUMIF('NiftyOption Chain'!$L$4:$L$142,OptionAnalysis!H8,'NiftyOption Chain'!$M$4:$M$143)</f>
        <v>-2.3999999999999995</v>
      </c>
      <c r="L8" s="232">
        <f>SUMIF('NiftyOption Chain'!$L$4:$L$142,OptionAnalysis!H8,'NiftyOption Chain'!$P$4:$P$143)</f>
        <v>246912</v>
      </c>
      <c r="M8" s="232">
        <f>SUMIF('NiftyOption Chain'!$L$4:$L$142,OptionAnalysis!H8,'NiftyOption Chain'!$Q$4:$Q$143)</f>
        <v>12744</v>
      </c>
      <c r="N8" s="232">
        <f>SUMIF('NiftyOption Chain'!$L$4:$L$142,OptionAnalysis!H8,'NiftyOption Chain'!$R$4:$R$143)</f>
        <v>89669</v>
      </c>
      <c r="O8" s="250" t="str">
        <f>INDEX('NiftyOption Chain'!$V$4:$V$143,MATCH(OptionAnalysis!$H8,'NiftyOption Chain'!$L$4:$L$143,0),1)</f>
        <v>Short Build UP</v>
      </c>
      <c r="P8" s="27">
        <f t="shared" si="1"/>
        <v>17800</v>
      </c>
      <c r="Q8" s="27">
        <f t="shared" si="2"/>
        <v>8.02910100286533</v>
      </c>
      <c r="R8" s="251">
        <f t="shared" si="3"/>
        <v>78501</v>
      </c>
    </row>
    <row r="9" spans="1:28" ht="15.6" x14ac:dyDescent="0.3">
      <c r="A9" s="69" t="str">
        <f>INDEX('NiftyOption Chain'!$C$4:$C$143,MATCH(OptionAnalysis!$H9,'NiftyOption Chain'!$L$4:$L$143,0),1)</f>
        <v>Short Covering</v>
      </c>
      <c r="B9" s="230">
        <f>SUMIF('NiftyOption Chain'!$L$4:$L$142,OptionAnalysis!H9,'NiftyOption Chain'!$F$4:$F$143)</f>
        <v>554</v>
      </c>
      <c r="C9" s="230">
        <f>SUMIF('NiftyOption Chain'!$L$4:$L$142,OptionAnalysis!H9,'NiftyOption Chain'!$G$4:$G$143)</f>
        <v>-41</v>
      </c>
      <c r="D9" s="70">
        <f>SUMIF('NiftyOption Chain'!$L$4:$L$142,OptionAnalysis!H9,'NiftyOption Chain'!$H$4:$H$143)</f>
        <v>366</v>
      </c>
      <c r="E9" s="70">
        <f>SUMIF('NiftyOption Chain'!$L$4:$L$142,OptionAnalysis!H9,'NiftyOption Chain'!$K$4:$K$143)</f>
        <v>2.3000000000000114</v>
      </c>
      <c r="F9" s="70">
        <f>SUMIF('NiftyOption Chain'!$L$4:$L$142,OptionAnalysis!H9,'NiftyOption Chain'!$J$4:$J$143)</f>
        <v>374.55</v>
      </c>
      <c r="G9" s="70">
        <f>SUMIF('NiftyOption Chain'!$L$4:$L$142,OptionAnalysis!H9,'NiftyOption Chain'!$I$4:$I$143)</f>
        <v>27.04</v>
      </c>
      <c r="H9" s="7">
        <f t="shared" si="0"/>
        <v>17850</v>
      </c>
      <c r="I9" s="71">
        <f>SUMIF('NiftyOption Chain'!$L$4:$L$142,OptionAnalysis!H9,'NiftyOption Chain'!$O$4:$O$143)</f>
        <v>22.87</v>
      </c>
      <c r="J9" s="71">
        <f>SUMIF('NiftyOption Chain'!$L$4:$L$142,OptionAnalysis!H9,'NiftyOption Chain'!$N$4:$N$143)</f>
        <v>3.75</v>
      </c>
      <c r="K9" s="71">
        <f>SUMIF('NiftyOption Chain'!$L$4:$L$142,OptionAnalysis!H9,'NiftyOption Chain'!$M$4:$M$143)</f>
        <v>-3.25</v>
      </c>
      <c r="L9" s="232">
        <f>SUMIF('NiftyOption Chain'!$L$4:$L$142,OptionAnalysis!H9,'NiftyOption Chain'!$P$4:$P$143)</f>
        <v>127616</v>
      </c>
      <c r="M9" s="232">
        <f>SUMIF('NiftyOption Chain'!$L$4:$L$142,OptionAnalysis!H9,'NiftyOption Chain'!$Q$4:$Q$143)</f>
        <v>2355</v>
      </c>
      <c r="N9" s="232">
        <f>SUMIF('NiftyOption Chain'!$L$4:$L$142,OptionAnalysis!H9,'NiftyOption Chain'!$R$4:$R$143)</f>
        <v>36428</v>
      </c>
      <c r="O9" s="250" t="str">
        <f>INDEX('NiftyOption Chain'!$V$4:$V$143,MATCH(OptionAnalysis!$H9,'NiftyOption Chain'!$L$4:$L$143,0),1)</f>
        <v>Short Build UP</v>
      </c>
      <c r="P9" s="27">
        <f t="shared" si="1"/>
        <v>17850</v>
      </c>
      <c r="Q9" s="27">
        <f t="shared" si="2"/>
        <v>65.754512635379058</v>
      </c>
      <c r="R9" s="251">
        <f t="shared" si="3"/>
        <v>35874</v>
      </c>
      <c r="AB9" s="227"/>
    </row>
    <row r="10" spans="1:28" ht="15.6" x14ac:dyDescent="0.3">
      <c r="A10" s="69" t="str">
        <f>INDEX('NiftyOption Chain'!$C$4:$C$143,MATCH(OptionAnalysis!$H10,'NiftyOption Chain'!$L$4:$L$143,0),1)</f>
        <v>Short Covering</v>
      </c>
      <c r="B10" s="230">
        <f>SUMIF('NiftyOption Chain'!$L$4:$L$142,OptionAnalysis!H10,'NiftyOption Chain'!$F$4:$F$143)</f>
        <v>5178</v>
      </c>
      <c r="C10" s="230">
        <f>SUMIF('NiftyOption Chain'!$L$4:$L$142,OptionAnalysis!H10,'NiftyOption Chain'!$G$4:$G$143)</f>
        <v>-103</v>
      </c>
      <c r="D10" s="70">
        <f>SUMIF('NiftyOption Chain'!$L$4:$L$142,OptionAnalysis!H10,'NiftyOption Chain'!$H$4:$H$143)</f>
        <v>4487</v>
      </c>
      <c r="E10" s="70">
        <f>SUMIF('NiftyOption Chain'!$L$4:$L$142,OptionAnalysis!H10,'NiftyOption Chain'!$K$4:$K$143)</f>
        <v>6.3000000000000114</v>
      </c>
      <c r="F10" s="70">
        <f>SUMIF('NiftyOption Chain'!$L$4:$L$142,OptionAnalysis!H10,'NiftyOption Chain'!$J$4:$J$143)</f>
        <v>330.35</v>
      </c>
      <c r="G10" s="70">
        <f>SUMIF('NiftyOption Chain'!$L$4:$L$142,OptionAnalysis!H10,'NiftyOption Chain'!$I$4:$I$143)</f>
        <v>24.69</v>
      </c>
      <c r="H10" s="7">
        <f t="shared" si="0"/>
        <v>17900</v>
      </c>
      <c r="I10" s="71">
        <f>SUMIF('NiftyOption Chain'!$L$4:$L$142,OptionAnalysis!H10,'NiftyOption Chain'!$O$4:$O$143)</f>
        <v>21.76</v>
      </c>
      <c r="J10" s="71">
        <f>SUMIF('NiftyOption Chain'!$L$4:$L$142,OptionAnalysis!H10,'NiftyOption Chain'!$N$4:$N$143)</f>
        <v>5.3</v>
      </c>
      <c r="K10" s="71">
        <f>SUMIF('NiftyOption Chain'!$L$4:$L$142,OptionAnalysis!H10,'NiftyOption Chain'!$M$4:$M$143)</f>
        <v>-4.6499999999999995</v>
      </c>
      <c r="L10" s="232">
        <f>SUMIF('NiftyOption Chain'!$L$4:$L$142,OptionAnalysis!H10,'NiftyOption Chain'!$P$4:$P$143)</f>
        <v>319340</v>
      </c>
      <c r="M10" s="232">
        <f>SUMIF('NiftyOption Chain'!$L$4:$L$142,OptionAnalysis!H10,'NiftyOption Chain'!$Q$4:$Q$143)</f>
        <v>27359</v>
      </c>
      <c r="N10" s="232">
        <f>SUMIF('NiftyOption Chain'!$L$4:$L$142,OptionAnalysis!H10,'NiftyOption Chain'!$R$4:$R$143)</f>
        <v>91675</v>
      </c>
      <c r="O10" s="250" t="str">
        <f>INDEX('NiftyOption Chain'!$V$4:$V$143,MATCH(OptionAnalysis!$H10,'NiftyOption Chain'!$L$4:$L$143,0),1)</f>
        <v>Short Build UP</v>
      </c>
      <c r="P10" s="27">
        <f t="shared" si="1"/>
        <v>17900</v>
      </c>
      <c r="Q10" s="27">
        <f t="shared" si="2"/>
        <v>17.704712244109693</v>
      </c>
      <c r="R10" s="251">
        <f t="shared" si="3"/>
        <v>86497</v>
      </c>
    </row>
    <row r="11" spans="1:28" ht="16.2" thickBot="1" x14ac:dyDescent="0.35">
      <c r="A11" s="69" t="str">
        <f>INDEX('NiftyOption Chain'!$C$4:$C$143,MATCH(OptionAnalysis!$H11,'NiftyOption Chain'!$L$4:$L$143,0),1)</f>
        <v>Short Covering</v>
      </c>
      <c r="B11" s="230">
        <f>SUMIF('NiftyOption Chain'!$L$4:$L$142,OptionAnalysis!H11,'NiftyOption Chain'!$F$4:$F$143)</f>
        <v>1034</v>
      </c>
      <c r="C11" s="230">
        <f>SUMIF('NiftyOption Chain'!$L$4:$L$142,OptionAnalysis!H11,'NiftyOption Chain'!$G$4:$G$143)</f>
        <v>-87</v>
      </c>
      <c r="D11" s="70">
        <f>SUMIF('NiftyOption Chain'!$L$4:$L$142,OptionAnalysis!H11,'NiftyOption Chain'!$H$4:$H$143)</f>
        <v>1444</v>
      </c>
      <c r="E11" s="70">
        <f>SUMIF('NiftyOption Chain'!$L$4:$L$142,OptionAnalysis!H11,'NiftyOption Chain'!$K$4:$K$143)</f>
        <v>4.6999999999999886</v>
      </c>
      <c r="F11" s="70">
        <f>SUMIF('NiftyOption Chain'!$L$4:$L$142,OptionAnalysis!H11,'NiftyOption Chain'!$J$4:$J$143)</f>
        <v>283.45</v>
      </c>
      <c r="G11" s="70">
        <f>SUMIF('NiftyOption Chain'!$L$4:$L$142,OptionAnalysis!H11,'NiftyOption Chain'!$I$4:$I$143)</f>
        <v>23.09</v>
      </c>
      <c r="H11" s="7">
        <f t="shared" si="0"/>
        <v>17950</v>
      </c>
      <c r="I11" s="71">
        <f>SUMIF('NiftyOption Chain'!$L$4:$L$142,OptionAnalysis!H11,'NiftyOption Chain'!$O$4:$O$143)</f>
        <v>20.72</v>
      </c>
      <c r="J11" s="71">
        <f>SUMIF('NiftyOption Chain'!$L$4:$L$142,OptionAnalysis!H11,'NiftyOption Chain'!$N$4:$N$143)</f>
        <v>7.65</v>
      </c>
      <c r="K11" s="71">
        <f>SUMIF('NiftyOption Chain'!$L$4:$L$142,OptionAnalysis!H11,'NiftyOption Chain'!$M$4:$M$143)</f>
        <v>-6.2999999999999989</v>
      </c>
      <c r="L11" s="232">
        <f>SUMIF('NiftyOption Chain'!$L$4:$L$142,OptionAnalysis!H11,'NiftyOption Chain'!$P$4:$P$143)</f>
        <v>248438</v>
      </c>
      <c r="M11" s="232">
        <f>SUMIF('NiftyOption Chain'!$L$4:$L$142,OptionAnalysis!H11,'NiftyOption Chain'!$Q$4:$Q$143)</f>
        <v>20931</v>
      </c>
      <c r="N11" s="232">
        <f>SUMIF('NiftyOption Chain'!$L$4:$L$142,OptionAnalysis!H11,'NiftyOption Chain'!$R$4:$R$143)</f>
        <v>51196</v>
      </c>
      <c r="O11" s="250" t="str">
        <f>INDEX('NiftyOption Chain'!$V$4:$V$143,MATCH(OptionAnalysis!$H11,'NiftyOption Chain'!$L$4:$L$143,0),1)</f>
        <v>Short Build UP</v>
      </c>
      <c r="P11" s="255">
        <f t="shared" si="1"/>
        <v>17950</v>
      </c>
      <c r="Q11" s="255">
        <f t="shared" si="2"/>
        <v>49.512572533849131</v>
      </c>
      <c r="R11" s="256">
        <f t="shared" si="3"/>
        <v>50162</v>
      </c>
    </row>
    <row r="12" spans="1:28" ht="15.6" x14ac:dyDescent="0.3">
      <c r="A12" s="69" t="str">
        <f>INDEX('NiftyOption Chain'!$C$4:$C$143,MATCH(OptionAnalysis!$H12,'NiftyOption Chain'!$L$4:$L$143,0),1)</f>
        <v>Short Covering</v>
      </c>
      <c r="B12" s="230">
        <f>SUMIF('NiftyOption Chain'!$L$4:$L$142,OptionAnalysis!H12,'NiftyOption Chain'!$F$4:$F$143)</f>
        <v>78085</v>
      </c>
      <c r="C12" s="230">
        <f>SUMIF('NiftyOption Chain'!$L$4:$L$142,OptionAnalysis!H12,'NiftyOption Chain'!$G$4:$G$143)</f>
        <v>-8047</v>
      </c>
      <c r="D12" s="70">
        <f>SUMIF('NiftyOption Chain'!$L$4:$L$142,OptionAnalysis!H12,'NiftyOption Chain'!$H$4:$H$143)</f>
        <v>56664</v>
      </c>
      <c r="E12" s="70">
        <f>SUMIF('NiftyOption Chain'!$L$4:$L$142,OptionAnalysis!H12,'NiftyOption Chain'!$K$4:$K$143)</f>
        <v>3.5500000000000114</v>
      </c>
      <c r="F12" s="70">
        <f>SUMIF('NiftyOption Chain'!$L$4:$L$142,OptionAnalysis!H12,'NiftyOption Chain'!$J$4:$J$143)</f>
        <v>237.15</v>
      </c>
      <c r="G12" s="70">
        <f>SUMIF('NiftyOption Chain'!$L$4:$L$142,OptionAnalysis!H12,'NiftyOption Chain'!$I$4:$I$143)</f>
        <v>22.4</v>
      </c>
      <c r="H12" s="7">
        <f t="shared" si="0"/>
        <v>18000</v>
      </c>
      <c r="I12" s="71">
        <f>SUMIF('NiftyOption Chain'!$L$4:$L$142,OptionAnalysis!H12,'NiftyOption Chain'!$O$4:$O$143)</f>
        <v>20.04</v>
      </c>
      <c r="J12" s="71">
        <f>SUMIF('NiftyOption Chain'!$L$4:$L$142,OptionAnalysis!H12,'NiftyOption Chain'!$N$4:$N$143)</f>
        <v>11.65</v>
      </c>
      <c r="K12" s="71">
        <f>SUMIF('NiftyOption Chain'!$L$4:$L$142,OptionAnalysis!H12,'NiftyOption Chain'!$M$4:$M$143)</f>
        <v>-8.2000000000000011</v>
      </c>
      <c r="L12" s="232">
        <f>SUMIF('NiftyOption Chain'!$L$4:$L$142,OptionAnalysis!H12,'NiftyOption Chain'!$P$4:$P$143)</f>
        <v>552042</v>
      </c>
      <c r="M12" s="232">
        <f>SUMIF('NiftyOption Chain'!$L$4:$L$142,OptionAnalysis!H12,'NiftyOption Chain'!$Q$4:$Q$143)</f>
        <v>43162</v>
      </c>
      <c r="N12" s="232">
        <f>SUMIF('NiftyOption Chain'!$L$4:$L$142,OptionAnalysis!H12,'NiftyOption Chain'!$R$4:$R$143)</f>
        <v>218064</v>
      </c>
      <c r="O12" s="250" t="str">
        <f>INDEX('NiftyOption Chain'!$V$4:$V$143,MATCH(OptionAnalysis!$H12,'NiftyOption Chain'!$L$4:$L$143,0),1)</f>
        <v>Short Build UP</v>
      </c>
      <c r="P12" s="257">
        <f t="shared" si="1"/>
        <v>18000</v>
      </c>
      <c r="Q12" s="258">
        <f t="shared" si="2"/>
        <v>2.7926490363065888</v>
      </c>
      <c r="R12" s="259">
        <f t="shared" si="3"/>
        <v>139979</v>
      </c>
    </row>
    <row r="13" spans="1:28" ht="15.6" x14ac:dyDescent="0.3">
      <c r="A13" s="69" t="str">
        <f>INDEX('NiftyOption Chain'!$C$4:$C$143,MATCH(OptionAnalysis!$H13,'NiftyOption Chain'!$L$4:$L$143,0),1)</f>
        <v>Short Covering</v>
      </c>
      <c r="B13" s="230">
        <f>SUMIF('NiftyOption Chain'!$L$4:$L$142,OptionAnalysis!H13,'NiftyOption Chain'!$F$4:$F$143)</f>
        <v>14628</v>
      </c>
      <c r="C13" s="230">
        <f>SUMIF('NiftyOption Chain'!$L$4:$L$142,OptionAnalysis!H13,'NiftyOption Chain'!$G$4:$G$143)</f>
        <v>-3383</v>
      </c>
      <c r="D13" s="70">
        <f>SUMIF('NiftyOption Chain'!$L$4:$L$142,OptionAnalysis!H13,'NiftyOption Chain'!$H$4:$H$143)</f>
        <v>31188</v>
      </c>
      <c r="E13" s="70">
        <f>SUMIF('NiftyOption Chain'!$L$4:$L$142,OptionAnalysis!H13,'NiftyOption Chain'!$K$4:$K$143)</f>
        <v>1.1499999999999773</v>
      </c>
      <c r="F13" s="70">
        <f>SUMIF('NiftyOption Chain'!$L$4:$L$142,OptionAnalysis!H13,'NiftyOption Chain'!$J$4:$J$143)</f>
        <v>193.2</v>
      </c>
      <c r="G13" s="70">
        <f>SUMIF('NiftyOption Chain'!$L$4:$L$142,OptionAnalysis!H13,'NiftyOption Chain'!$I$4:$I$143)</f>
        <v>21.11</v>
      </c>
      <c r="H13" s="7">
        <f t="shared" si="0"/>
        <v>18050</v>
      </c>
      <c r="I13" s="71">
        <f>SUMIF('NiftyOption Chain'!$L$4:$L$142,OptionAnalysis!H13,'NiftyOption Chain'!$O$4:$O$143)</f>
        <v>0</v>
      </c>
      <c r="J13" s="71">
        <f>SUMIF('NiftyOption Chain'!$L$4:$L$142,OptionAnalysis!H13,'NiftyOption Chain'!$N$4:$N$143)</f>
        <v>17.2</v>
      </c>
      <c r="K13" s="71">
        <f>SUMIF('NiftyOption Chain'!$L$4:$L$142,OptionAnalysis!H13,'NiftyOption Chain'!$M$4:$M$143)</f>
        <v>-10.7</v>
      </c>
      <c r="L13" s="232">
        <f>SUMIF('NiftyOption Chain'!$L$4:$L$142,OptionAnalysis!H13,'NiftyOption Chain'!$P$4:$P$143)</f>
        <v>292366</v>
      </c>
      <c r="M13" s="232">
        <f>SUMIF('NiftyOption Chain'!$L$4:$L$142,OptionAnalysis!H13,'NiftyOption Chain'!$Q$4:$Q$143)</f>
        <v>-2005</v>
      </c>
      <c r="N13" s="232">
        <f>SUMIF('NiftyOption Chain'!$L$4:$L$142,OptionAnalysis!H13,'NiftyOption Chain'!$R$4:$R$143)</f>
        <v>53938</v>
      </c>
      <c r="O13" s="250" t="str">
        <f>INDEX('NiftyOption Chain'!$V$4:$V$143,MATCH(OptionAnalysis!$H13,'NiftyOption Chain'!$L$4:$L$143,0),1)</f>
        <v>Long Liquidation</v>
      </c>
      <c r="P13" s="260">
        <f t="shared" si="1"/>
        <v>18050</v>
      </c>
      <c r="Q13" s="27">
        <f t="shared" si="2"/>
        <v>3.6873120043751708</v>
      </c>
      <c r="R13" s="261">
        <f t="shared" si="3"/>
        <v>39310</v>
      </c>
    </row>
    <row r="14" spans="1:28" ht="15.6" x14ac:dyDescent="0.3">
      <c r="A14" s="69" t="str">
        <f>INDEX('NiftyOption Chain'!$C$4:$C$143,MATCH(OptionAnalysis!$H14,'NiftyOption Chain'!$L$4:$L$143,0),1)</f>
        <v>Long Liquidation</v>
      </c>
      <c r="B14" s="230">
        <f>SUMIF('NiftyOption Chain'!$L$4:$L$142,OptionAnalysis!H14,'NiftyOption Chain'!$F$4:$F$143)</f>
        <v>84901</v>
      </c>
      <c r="C14" s="230">
        <f>SUMIF('NiftyOption Chain'!$L$4:$L$142,OptionAnalysis!H14,'NiftyOption Chain'!$G$4:$G$143)</f>
        <v>-10995</v>
      </c>
      <c r="D14" s="70">
        <f>SUMIF('NiftyOption Chain'!$L$4:$L$142,OptionAnalysis!H14,'NiftyOption Chain'!$H$4:$H$143)</f>
        <v>124840</v>
      </c>
      <c r="E14" s="70">
        <f>SUMIF('NiftyOption Chain'!$L$4:$L$142,OptionAnalysis!H14,'NiftyOption Chain'!$K$4:$K$143)</f>
        <v>-2.3499999999999943</v>
      </c>
      <c r="F14" s="70">
        <f>SUMIF('NiftyOption Chain'!$L$4:$L$142,OptionAnalysis!H14,'NiftyOption Chain'!$J$4:$J$143)</f>
        <v>151.1</v>
      </c>
      <c r="G14" s="70">
        <f>SUMIF('NiftyOption Chain'!$L$4:$L$142,OptionAnalysis!H14,'NiftyOption Chain'!$I$4:$I$143)</f>
        <v>19.670000000000002</v>
      </c>
      <c r="H14" s="7">
        <f>H15-50</f>
        <v>18100</v>
      </c>
      <c r="I14" s="71">
        <f>SUMIF('NiftyOption Chain'!$L$4:$L$142,OptionAnalysis!H14,'NiftyOption Chain'!$O$4:$O$143)</f>
        <v>18.75</v>
      </c>
      <c r="J14" s="71">
        <f>SUMIF('NiftyOption Chain'!$L$4:$L$142,OptionAnalysis!H14,'NiftyOption Chain'!$N$4:$N$143)</f>
        <v>25.65</v>
      </c>
      <c r="K14" s="71">
        <f>SUMIF('NiftyOption Chain'!$L$4:$L$142,OptionAnalysis!H14,'NiftyOption Chain'!$M$4:$M$143)</f>
        <v>-13.5</v>
      </c>
      <c r="L14" s="232">
        <f>SUMIF('NiftyOption Chain'!$L$4:$L$142,OptionAnalysis!H14,'NiftyOption Chain'!$P$4:$P$143)</f>
        <v>551758</v>
      </c>
      <c r="M14" s="232">
        <f>SUMIF('NiftyOption Chain'!$L$4:$L$142,OptionAnalysis!H14,'NiftyOption Chain'!$Q$4:$Q$143)</f>
        <v>26626</v>
      </c>
      <c r="N14" s="232">
        <f>SUMIF('NiftyOption Chain'!$L$4:$L$142,OptionAnalysis!H14,'NiftyOption Chain'!$R$4:$R$143)</f>
        <v>145397</v>
      </c>
      <c r="O14" s="250" t="str">
        <f>INDEX('NiftyOption Chain'!$V$4:$V$143,MATCH(OptionAnalysis!$H14,'NiftyOption Chain'!$L$4:$L$143,0),1)</f>
        <v>Short Build UP</v>
      </c>
      <c r="P14" s="260">
        <f t="shared" si="1"/>
        <v>18100</v>
      </c>
      <c r="Q14" s="27">
        <f t="shared" si="2"/>
        <v>1.7125475553880403</v>
      </c>
      <c r="R14" s="261">
        <f t="shared" si="3"/>
        <v>60496</v>
      </c>
    </row>
    <row r="15" spans="1:28" ht="15.6" x14ac:dyDescent="0.3">
      <c r="A15" s="69" t="str">
        <f>INDEX('NiftyOption Chain'!$C$4:$C$143,MATCH(OptionAnalysis!$H15,'NiftyOption Chain'!$L$4:$L$143,0),1)</f>
        <v>Long Liquidation</v>
      </c>
      <c r="B15" s="230">
        <f>SUMIF('NiftyOption Chain'!$L$4:$L$142,OptionAnalysis!H15,'NiftyOption Chain'!$F$4:$F$143)</f>
        <v>25956</v>
      </c>
      <c r="C15" s="230">
        <f>SUMIF('NiftyOption Chain'!$L$4:$L$142,OptionAnalysis!H15,'NiftyOption Chain'!$G$4:$G$143)</f>
        <v>-1940</v>
      </c>
      <c r="D15" s="70">
        <f>SUMIF('NiftyOption Chain'!$L$4:$L$142,OptionAnalysis!H15,'NiftyOption Chain'!$H$4:$H$143)</f>
        <v>89534</v>
      </c>
      <c r="E15" s="70">
        <f>SUMIF('NiftyOption Chain'!$L$4:$L$142,OptionAnalysis!H15,'NiftyOption Chain'!$K$4:$K$143)</f>
        <v>-5.9000000000000057</v>
      </c>
      <c r="F15" s="70">
        <f>SUMIF('NiftyOption Chain'!$L$4:$L$142,OptionAnalysis!H15,'NiftyOption Chain'!$J$4:$J$143)</f>
        <v>114.1</v>
      </c>
      <c r="G15" s="70">
        <f>SUMIF('NiftyOption Chain'!$L$4:$L$142,OptionAnalysis!H15,'NiftyOption Chain'!$I$4:$I$143)</f>
        <v>0</v>
      </c>
      <c r="H15" s="7">
        <f>H16-50</f>
        <v>18150</v>
      </c>
      <c r="I15" s="71">
        <f>SUMIF('NiftyOption Chain'!$L$4:$L$142,OptionAnalysis!H15,'NiftyOption Chain'!$O$4:$O$143)</f>
        <v>18.23</v>
      </c>
      <c r="J15" s="71">
        <f>SUMIF('NiftyOption Chain'!$L$4:$L$142,OptionAnalysis!H15,'NiftyOption Chain'!$N$4:$N$143)</f>
        <v>38.25</v>
      </c>
      <c r="K15" s="71">
        <f>SUMIF('NiftyOption Chain'!$L$4:$L$142,OptionAnalysis!H15,'NiftyOption Chain'!$M$4:$M$143)</f>
        <v>-17.149999999999999</v>
      </c>
      <c r="L15" s="232">
        <f>SUMIF('NiftyOption Chain'!$L$4:$L$142,OptionAnalysis!H15,'NiftyOption Chain'!$P$4:$P$143)</f>
        <v>334115</v>
      </c>
      <c r="M15" s="232">
        <f>SUMIF('NiftyOption Chain'!$L$4:$L$142,OptionAnalysis!H15,'NiftyOption Chain'!$Q$4:$Q$143)</f>
        <v>27349</v>
      </c>
      <c r="N15" s="232">
        <f>SUMIF('NiftyOption Chain'!$L$4:$L$142,OptionAnalysis!H15,'NiftyOption Chain'!$R$4:$R$143)</f>
        <v>61048</v>
      </c>
      <c r="O15" s="250" t="str">
        <f>INDEX('NiftyOption Chain'!$V$4:$V$143,MATCH(OptionAnalysis!$H15,'NiftyOption Chain'!$L$4:$L$143,0),1)</f>
        <v>Short Build UP</v>
      </c>
      <c r="P15" s="260">
        <f t="shared" si="1"/>
        <v>18150</v>
      </c>
      <c r="Q15" s="27">
        <f t="shared" si="2"/>
        <v>2.3519802743103715</v>
      </c>
      <c r="R15" s="261">
        <f t="shared" si="3"/>
        <v>35092</v>
      </c>
      <c r="Z15" s="229"/>
    </row>
    <row r="16" spans="1:28" ht="15.6" x14ac:dyDescent="0.3">
      <c r="A16" s="69" t="str">
        <f>INDEX('NiftyOption Chain'!$C$4:$C$143,MATCH(OptionAnalysis!$H16,'NiftyOption Chain'!$L$4:$L$143,0),1)</f>
        <v>Short Build UP</v>
      </c>
      <c r="B16" s="230">
        <f>SUMIF('NiftyOption Chain'!$L$4:$L$142,OptionAnalysis!H16,'NiftyOption Chain'!$F$4:$F$143)</f>
        <v>140751</v>
      </c>
      <c r="C16" s="230">
        <f>SUMIF('NiftyOption Chain'!$L$4:$L$142,OptionAnalysis!H16,'NiftyOption Chain'!$G$4:$G$143)</f>
        <v>27748</v>
      </c>
      <c r="D16" s="70">
        <f>SUMIF('NiftyOption Chain'!$L$4:$L$142,OptionAnalysis!H16,'NiftyOption Chain'!$H$4:$H$143)</f>
        <v>441693</v>
      </c>
      <c r="E16" s="70">
        <f>SUMIF('NiftyOption Chain'!$L$4:$L$142,OptionAnalysis!H16,'NiftyOption Chain'!$K$4:$K$143)</f>
        <v>-8.6000000000000085</v>
      </c>
      <c r="F16" s="70">
        <f>SUMIF('NiftyOption Chain'!$L$4:$L$142,OptionAnalysis!H16,'NiftyOption Chain'!$J$4:$J$143)</f>
        <v>82.35</v>
      </c>
      <c r="G16" s="70">
        <f>SUMIF('NiftyOption Chain'!$L$4:$L$142,OptionAnalysis!H16,'NiftyOption Chain'!$I$4:$I$143)</f>
        <v>18.43</v>
      </c>
      <c r="H16" s="8">
        <f>'NiftyOption Chain'!F5</f>
        <v>18200</v>
      </c>
      <c r="I16" s="71">
        <f>SUMIF('NiftyOption Chain'!$L$4:$L$142,OptionAnalysis!H16,'NiftyOption Chain'!$O$4:$O$143)</f>
        <v>17.89</v>
      </c>
      <c r="J16" s="71">
        <f>SUMIF('NiftyOption Chain'!$L$4:$L$142,OptionAnalysis!H16,'NiftyOption Chain'!$N$4:$N$143)</f>
        <v>56.45</v>
      </c>
      <c r="K16" s="71">
        <f>SUMIF('NiftyOption Chain'!$L$4:$L$142,OptionAnalysis!H16,'NiftyOption Chain'!$M$4:$M$143)</f>
        <v>-19.799999999999997</v>
      </c>
      <c r="L16" s="232">
        <f>SUMIF('NiftyOption Chain'!$L$4:$L$142,OptionAnalysis!H16,'NiftyOption Chain'!$P$4:$P$143)</f>
        <v>782147</v>
      </c>
      <c r="M16" s="232">
        <f>SUMIF('NiftyOption Chain'!$L$4:$L$142,OptionAnalysis!H16,'NiftyOption Chain'!$Q$4:$Q$143)</f>
        <v>62658</v>
      </c>
      <c r="N16" s="232">
        <f>SUMIF('NiftyOption Chain'!$L$4:$L$142,OptionAnalysis!H16,'NiftyOption Chain'!$R$4:$R$143)</f>
        <v>147836</v>
      </c>
      <c r="O16" s="250" t="str">
        <f>INDEX('NiftyOption Chain'!$V$4:$V$143,MATCH(OptionAnalysis!$H16,'NiftyOption Chain'!$L$4:$L$143,0),1)</f>
        <v>Short Build UP</v>
      </c>
      <c r="P16" s="262">
        <f t="shared" si="1"/>
        <v>18200</v>
      </c>
      <c r="Q16" s="27">
        <f t="shared" si="2"/>
        <v>1.0503371201625566</v>
      </c>
      <c r="R16" s="261">
        <f t="shared" si="3"/>
        <v>7085</v>
      </c>
    </row>
    <row r="17" spans="1:25" ht="15.6" x14ac:dyDescent="0.3">
      <c r="A17" s="69" t="str">
        <f>INDEX('NiftyOption Chain'!$C$4:$C$143,MATCH(OptionAnalysis!$H17,'NiftyOption Chain'!$L$4:$L$143,0),1)</f>
        <v>Short Build UP</v>
      </c>
      <c r="B17" s="231">
        <f>SUMIF('NiftyOption Chain'!$L$4:$L$142,OptionAnalysis!H17,'NiftyOption Chain'!$F$4:$F$143)</f>
        <v>98429</v>
      </c>
      <c r="C17" s="231">
        <f>SUMIF('NiftyOption Chain'!$L$4:$L$142,OptionAnalysis!H17,'NiftyOption Chain'!$G$4:$G$143)</f>
        <v>50794</v>
      </c>
      <c r="D17" s="223">
        <f>SUMIF('NiftyOption Chain'!$L$4:$L$142,OptionAnalysis!H17,'NiftyOption Chain'!$H$4:$H$143)</f>
        <v>422490</v>
      </c>
      <c r="E17" s="223">
        <f>SUMIF('NiftyOption Chain'!$L$4:$L$142,OptionAnalysis!H17,'NiftyOption Chain'!$K$4:$K$143)</f>
        <v>-10.4</v>
      </c>
      <c r="F17" s="223">
        <f>SUMIF('NiftyOption Chain'!$L$4:$L$142,OptionAnalysis!H17,'NiftyOption Chain'!$J$4:$J$143)</f>
        <v>55.85</v>
      </c>
      <c r="G17" s="223">
        <f>SUMIF('NiftyOption Chain'!$L$4:$L$142,OptionAnalysis!H17,'NiftyOption Chain'!$I$4:$I$143)</f>
        <v>0</v>
      </c>
      <c r="H17" s="7">
        <f>H16+50</f>
        <v>18250</v>
      </c>
      <c r="I17" s="70">
        <f>SUMIF('NiftyOption Chain'!$L$4:$L$142,OptionAnalysis!H17,'NiftyOption Chain'!$O$4:$O$143)</f>
        <v>16.739999999999998</v>
      </c>
      <c r="J17" s="70">
        <f>SUMIF('NiftyOption Chain'!$L$4:$L$142,OptionAnalysis!H17,'NiftyOption Chain'!$N$4:$N$143)</f>
        <v>80.05</v>
      </c>
      <c r="K17" s="70">
        <f>SUMIF('NiftyOption Chain'!$L$4:$L$142,OptionAnalysis!H17,'NiftyOption Chain'!$M$4:$M$143)</f>
        <v>-21.400000000000009</v>
      </c>
      <c r="L17" s="230">
        <f>SUMIF('NiftyOption Chain'!$L$4:$L$142,OptionAnalysis!H17,'NiftyOption Chain'!$P$4:$P$143)</f>
        <v>434890</v>
      </c>
      <c r="M17" s="230">
        <f>SUMIF('NiftyOption Chain'!$L$4:$L$142,OptionAnalysis!H17,'NiftyOption Chain'!$Q$4:$Q$143)</f>
        <v>49942</v>
      </c>
      <c r="N17" s="230">
        <f>SUMIF('NiftyOption Chain'!$L$4:$L$142,OptionAnalysis!H17,'NiftyOption Chain'!$R$4:$R$143)</f>
        <v>63178</v>
      </c>
      <c r="O17" s="250" t="str">
        <f>INDEX('NiftyOption Chain'!$V$4:$V$143,MATCH(OptionAnalysis!$H17,'NiftyOption Chain'!$L$4:$L$143,0),1)</f>
        <v>Short Build UP</v>
      </c>
      <c r="P17" s="260">
        <f t="shared" si="1"/>
        <v>18250</v>
      </c>
      <c r="Q17" s="27">
        <f t="shared" si="2"/>
        <v>0.64186367838746716</v>
      </c>
      <c r="R17" s="261">
        <f t="shared" si="3"/>
        <v>-35251</v>
      </c>
    </row>
    <row r="18" spans="1:25" ht="15.6" x14ac:dyDescent="0.3">
      <c r="A18" s="69" t="str">
        <f>INDEX('NiftyOption Chain'!$C$4:$C$143,MATCH(OptionAnalysis!$H18,'NiftyOption Chain'!$L$4:$L$143,0),1)</f>
        <v>Short Build UP</v>
      </c>
      <c r="B18" s="231">
        <f>SUMIF('NiftyOption Chain'!$L$4:$L$142,OptionAnalysis!H18,'NiftyOption Chain'!$F$4:$F$143)</f>
        <v>222744</v>
      </c>
      <c r="C18" s="231">
        <f>SUMIF('NiftyOption Chain'!$L$4:$L$142,OptionAnalysis!H18,'NiftyOption Chain'!$G$4:$G$143)</f>
        <v>108256</v>
      </c>
      <c r="D18" s="223">
        <f>SUMIF('NiftyOption Chain'!$L$4:$L$142,OptionAnalysis!H18,'NiftyOption Chain'!$H$4:$H$143)</f>
        <v>798008</v>
      </c>
      <c r="E18" s="223">
        <f>SUMIF('NiftyOption Chain'!$L$4:$L$142,OptionAnalysis!H18,'NiftyOption Chain'!$K$4:$K$143)</f>
        <v>-10.449999999999996</v>
      </c>
      <c r="F18" s="223">
        <f>SUMIF('NiftyOption Chain'!$L$4:$L$142,OptionAnalysis!H18,'NiftyOption Chain'!$J$4:$J$143)</f>
        <v>35.450000000000003</v>
      </c>
      <c r="G18" s="223">
        <f>SUMIF('NiftyOption Chain'!$L$4:$L$142,OptionAnalysis!H18,'NiftyOption Chain'!$I$4:$I$143)</f>
        <v>17.13</v>
      </c>
      <c r="H18" s="7">
        <f>H17+50</f>
        <v>18300</v>
      </c>
      <c r="I18" s="70">
        <f>SUMIF('NiftyOption Chain'!$L$4:$L$142,OptionAnalysis!H18,'NiftyOption Chain'!$O$4:$O$143)</f>
        <v>16.11</v>
      </c>
      <c r="J18" s="70">
        <f>SUMIF('NiftyOption Chain'!$L$4:$L$142,OptionAnalysis!H18,'NiftyOption Chain'!$N$4:$N$143)</f>
        <v>109.95</v>
      </c>
      <c r="K18" s="70">
        <f>SUMIF('NiftyOption Chain'!$L$4:$L$142,OptionAnalysis!H18,'NiftyOption Chain'!$M$4:$M$143)</f>
        <v>-21.700000000000003</v>
      </c>
      <c r="L18" s="230">
        <f>SUMIF('NiftyOption Chain'!$L$4:$L$142,OptionAnalysis!H18,'NiftyOption Chain'!$P$4:$P$143)</f>
        <v>489761</v>
      </c>
      <c r="M18" s="230">
        <f>SUMIF('NiftyOption Chain'!$L$4:$L$142,OptionAnalysis!H18,'NiftyOption Chain'!$Q$4:$Q$143)</f>
        <v>46861</v>
      </c>
      <c r="N18" s="230">
        <f>SUMIF('NiftyOption Chain'!$L$4:$L$142,OptionAnalysis!H18,'NiftyOption Chain'!$R$4:$R$143)</f>
        <v>62050</v>
      </c>
      <c r="O18" s="250" t="str">
        <f>INDEX('NiftyOption Chain'!$V$4:$V$143,MATCH(OptionAnalysis!$H18,'NiftyOption Chain'!$L$4:$L$143,0),1)</f>
        <v>Short Build UP</v>
      </c>
      <c r="P18" s="260">
        <f t="shared" si="1"/>
        <v>18300</v>
      </c>
      <c r="Q18" s="27">
        <f t="shared" si="2"/>
        <v>0.27857091549042845</v>
      </c>
      <c r="R18" s="261">
        <f t="shared" si="3"/>
        <v>-160694</v>
      </c>
      <c r="X18" s="432"/>
      <c r="Y18" s="432"/>
    </row>
    <row r="19" spans="1:25" ht="15.6" x14ac:dyDescent="0.3">
      <c r="A19" s="69" t="str">
        <f>INDEX('NiftyOption Chain'!$C$4:$C$143,MATCH(OptionAnalysis!$H19,'NiftyOption Chain'!$L$4:$L$143,0),1)</f>
        <v>Short Build UP</v>
      </c>
      <c r="B19" s="231">
        <f>SUMIF('NiftyOption Chain'!$L$4:$L$142,OptionAnalysis!H19,'NiftyOption Chain'!$F$4:$F$143)</f>
        <v>66796</v>
      </c>
      <c r="C19" s="231">
        <f>SUMIF('NiftyOption Chain'!$L$4:$L$142,OptionAnalysis!H19,'NiftyOption Chain'!$G$4:$G$143)</f>
        <v>28681</v>
      </c>
      <c r="D19" s="223">
        <f>SUMIF('NiftyOption Chain'!$L$4:$L$142,OptionAnalysis!H19,'NiftyOption Chain'!$H$4:$H$143)</f>
        <v>287217</v>
      </c>
      <c r="E19" s="223">
        <f>SUMIF('NiftyOption Chain'!$L$4:$L$142,OptionAnalysis!H19,'NiftyOption Chain'!$K$4:$K$143)</f>
        <v>-9.5500000000000007</v>
      </c>
      <c r="F19" s="223">
        <f>SUMIF('NiftyOption Chain'!$L$4:$L$142,OptionAnalysis!H19,'NiftyOption Chain'!$J$4:$J$143)</f>
        <v>20.9</v>
      </c>
      <c r="G19" s="223">
        <f>SUMIF('NiftyOption Chain'!$L$4:$L$142,OptionAnalysis!H19,'NiftyOption Chain'!$I$4:$I$143)</f>
        <v>16.98</v>
      </c>
      <c r="H19" s="7">
        <f t="shared" ref="H19:H26" si="4">H18+50</f>
        <v>18350</v>
      </c>
      <c r="I19" s="70">
        <f>SUMIF('NiftyOption Chain'!$L$4:$L$142,OptionAnalysis!H19,'NiftyOption Chain'!$O$4:$O$143)</f>
        <v>15.46</v>
      </c>
      <c r="J19" s="70">
        <f>SUMIF('NiftyOption Chain'!$L$4:$L$142,OptionAnalysis!H19,'NiftyOption Chain'!$N$4:$N$143)</f>
        <v>145.15</v>
      </c>
      <c r="K19" s="70">
        <f>SUMIF('NiftyOption Chain'!$L$4:$L$142,OptionAnalysis!H19,'NiftyOption Chain'!$M$4:$M$143)</f>
        <v>-20.25</v>
      </c>
      <c r="L19" s="230">
        <f>SUMIF('NiftyOption Chain'!$L$4:$L$142,OptionAnalysis!H19,'NiftyOption Chain'!$P$4:$P$143)</f>
        <v>121266</v>
      </c>
      <c r="M19" s="230">
        <f>SUMIF('NiftyOption Chain'!$L$4:$L$142,OptionAnalysis!H19,'NiftyOption Chain'!$Q$4:$Q$143)</f>
        <v>11054</v>
      </c>
      <c r="N19" s="230">
        <f>SUMIF('NiftyOption Chain'!$L$4:$L$142,OptionAnalysis!H19,'NiftyOption Chain'!$R$4:$R$143)</f>
        <v>13159</v>
      </c>
      <c r="O19" s="250" t="str">
        <f>INDEX('NiftyOption Chain'!$V$4:$V$143,MATCH(OptionAnalysis!$H19,'NiftyOption Chain'!$L$4:$L$143,0),1)</f>
        <v>Short Build UP</v>
      </c>
      <c r="P19" s="260">
        <f t="shared" si="1"/>
        <v>18350</v>
      </c>
      <c r="Q19" s="27">
        <f t="shared" si="2"/>
        <v>0.19700281453979279</v>
      </c>
      <c r="R19" s="261">
        <f t="shared" si="3"/>
        <v>-53637</v>
      </c>
    </row>
    <row r="20" spans="1:25" ht="16.2" thickBot="1" x14ac:dyDescent="0.35">
      <c r="A20" s="69" t="str">
        <f>INDEX('NiftyOption Chain'!$C$4:$C$143,MATCH(OptionAnalysis!$H20,'NiftyOption Chain'!$L$4:$L$143,0),1)</f>
        <v>Short Build UP</v>
      </c>
      <c r="B20" s="231">
        <f>SUMIF('NiftyOption Chain'!$L$4:$L$142,OptionAnalysis!H20,'NiftyOption Chain'!$F$4:$F$143)</f>
        <v>141056</v>
      </c>
      <c r="C20" s="231">
        <f>SUMIF('NiftyOption Chain'!$L$4:$L$142,OptionAnalysis!H20,'NiftyOption Chain'!$G$4:$G$143)</f>
        <v>25452</v>
      </c>
      <c r="D20" s="223">
        <f>SUMIF('NiftyOption Chain'!$L$4:$L$142,OptionAnalysis!H20,'NiftyOption Chain'!$H$4:$H$143)</f>
        <v>498802</v>
      </c>
      <c r="E20" s="223">
        <f>SUMIF('NiftyOption Chain'!$L$4:$L$142,OptionAnalysis!H20,'NiftyOption Chain'!$K$4:$K$143)</f>
        <v>-7.4499999999999993</v>
      </c>
      <c r="F20" s="223">
        <f>SUMIF('NiftyOption Chain'!$L$4:$L$142,OptionAnalysis!H20,'NiftyOption Chain'!$J$4:$J$143)</f>
        <v>11.55</v>
      </c>
      <c r="G20" s="223">
        <f>SUMIF('NiftyOption Chain'!$L$4:$L$142,OptionAnalysis!H20,'NiftyOption Chain'!$I$4:$I$143)</f>
        <v>16.71</v>
      </c>
      <c r="H20" s="7">
        <f t="shared" si="4"/>
        <v>18400</v>
      </c>
      <c r="I20" s="70">
        <f>SUMIF('NiftyOption Chain'!$L$4:$L$142,OptionAnalysis!H20,'NiftyOption Chain'!$O$4:$O$143)</f>
        <v>0</v>
      </c>
      <c r="J20" s="70">
        <f>SUMIF('NiftyOption Chain'!$L$4:$L$142,OptionAnalysis!H20,'NiftyOption Chain'!$N$4:$N$143)</f>
        <v>186.3</v>
      </c>
      <c r="K20" s="70">
        <f>SUMIF('NiftyOption Chain'!$L$4:$L$142,OptionAnalysis!H20,'NiftyOption Chain'!$M$4:$M$143)</f>
        <v>-18.449999999999989</v>
      </c>
      <c r="L20" s="230">
        <f>SUMIF('NiftyOption Chain'!$L$4:$L$142,OptionAnalysis!H20,'NiftyOption Chain'!$P$4:$P$143)</f>
        <v>125634</v>
      </c>
      <c r="M20" s="230">
        <f>SUMIF('NiftyOption Chain'!$L$4:$L$142,OptionAnalysis!H20,'NiftyOption Chain'!$Q$4:$Q$143)</f>
        <v>13935</v>
      </c>
      <c r="N20" s="230">
        <f>SUMIF('NiftyOption Chain'!$L$4:$L$142,OptionAnalysis!H20,'NiftyOption Chain'!$R$4:$R$143)</f>
        <v>18734</v>
      </c>
      <c r="O20" s="250" t="str">
        <f>INDEX('NiftyOption Chain'!$V$4:$V$143,MATCH(OptionAnalysis!$H20,'NiftyOption Chain'!$L$4:$L$143,0),1)</f>
        <v>Short Build UP</v>
      </c>
      <c r="P20" s="263">
        <f t="shared" si="1"/>
        <v>18400</v>
      </c>
      <c r="Q20" s="264">
        <f t="shared" si="2"/>
        <v>0.1328125</v>
      </c>
      <c r="R20" s="265">
        <f t="shared" si="3"/>
        <v>-122322</v>
      </c>
    </row>
    <row r="21" spans="1:25" ht="15.6" x14ac:dyDescent="0.3">
      <c r="A21" s="69" t="str">
        <f>INDEX('NiftyOption Chain'!$C$4:$C$143,MATCH(OptionAnalysis!$H21,'NiftyOption Chain'!$L$4:$L$143,0),1)</f>
        <v>Short Build UP</v>
      </c>
      <c r="B21" s="231">
        <f>SUMIF('NiftyOption Chain'!$L$4:$L$142,OptionAnalysis!H21,'NiftyOption Chain'!$F$4:$F$143)</f>
        <v>80742</v>
      </c>
      <c r="C21" s="231">
        <f>SUMIF('NiftyOption Chain'!$L$4:$L$142,OptionAnalysis!H21,'NiftyOption Chain'!$G$4:$G$143)</f>
        <v>26018</v>
      </c>
      <c r="D21" s="223">
        <f>SUMIF('NiftyOption Chain'!$L$4:$L$142,OptionAnalysis!H21,'NiftyOption Chain'!$H$4:$H$143)</f>
        <v>321416</v>
      </c>
      <c r="E21" s="223">
        <f>SUMIF('NiftyOption Chain'!$L$4:$L$142,OptionAnalysis!H21,'NiftyOption Chain'!$K$4:$K$143)</f>
        <v>-5.6</v>
      </c>
      <c r="F21" s="223">
        <f>SUMIF('NiftyOption Chain'!$L$4:$L$142,OptionAnalysis!H21,'NiftyOption Chain'!$J$4:$J$143)</f>
        <v>6.25</v>
      </c>
      <c r="G21" s="223">
        <f>SUMIF('NiftyOption Chain'!$L$4:$L$142,OptionAnalysis!H21,'NiftyOption Chain'!$I$4:$I$143)</f>
        <v>16.8</v>
      </c>
      <c r="H21" s="7">
        <f t="shared" si="4"/>
        <v>18450</v>
      </c>
      <c r="I21" s="70">
        <f>SUMIF('NiftyOption Chain'!$L$4:$L$142,OptionAnalysis!H21,'NiftyOption Chain'!$O$4:$O$143)</f>
        <v>11.91</v>
      </c>
      <c r="J21" s="70">
        <f>SUMIF('NiftyOption Chain'!$L$4:$L$142,OptionAnalysis!H21,'NiftyOption Chain'!$N$4:$N$143)</f>
        <v>230.1</v>
      </c>
      <c r="K21" s="70">
        <f>SUMIF('NiftyOption Chain'!$L$4:$L$142,OptionAnalysis!H21,'NiftyOption Chain'!$M$4:$M$143)</f>
        <v>-16.900000000000006</v>
      </c>
      <c r="L21" s="230">
        <f>SUMIF('NiftyOption Chain'!$L$4:$L$142,OptionAnalysis!H21,'NiftyOption Chain'!$P$4:$P$143)</f>
        <v>21740</v>
      </c>
      <c r="M21" s="230">
        <f>SUMIF('NiftyOption Chain'!$L$4:$L$142,OptionAnalysis!H21,'NiftyOption Chain'!$Q$4:$Q$143)</f>
        <v>1851</v>
      </c>
      <c r="N21" s="230">
        <f>SUMIF('NiftyOption Chain'!$L$4:$L$142,OptionAnalysis!H21,'NiftyOption Chain'!$R$4:$R$143)</f>
        <v>2768</v>
      </c>
      <c r="O21" s="250" t="str">
        <f>INDEX('NiftyOption Chain'!$V$4:$V$143,MATCH(OptionAnalysis!$H21,'NiftyOption Chain'!$L$4:$L$143,0),1)</f>
        <v>Short Build UP</v>
      </c>
      <c r="P21" s="71">
        <f t="shared" si="1"/>
        <v>18450</v>
      </c>
      <c r="Q21" s="71">
        <f t="shared" si="2"/>
        <v>3.4282034133412596E-2</v>
      </c>
      <c r="R21" s="232">
        <f t="shared" si="3"/>
        <v>-77974</v>
      </c>
      <c r="Y21" s="227"/>
    </row>
    <row r="22" spans="1:25" ht="15.6" x14ac:dyDescent="0.3">
      <c r="A22" s="69" t="str">
        <f>INDEX('NiftyOption Chain'!$C$4:$C$143,MATCH(OptionAnalysis!$H22,'NiftyOption Chain'!$L$4:$L$143,0),1)</f>
        <v>Short Build UP</v>
      </c>
      <c r="B22" s="231">
        <f>SUMIF('NiftyOption Chain'!$L$4:$L$142,OptionAnalysis!H22,'NiftyOption Chain'!$F$4:$F$143)</f>
        <v>160320</v>
      </c>
      <c r="C22" s="231">
        <f>SUMIF('NiftyOption Chain'!$L$4:$L$142,OptionAnalysis!H22,'NiftyOption Chain'!$G$4:$G$143)</f>
        <v>27461</v>
      </c>
      <c r="D22" s="223">
        <f>SUMIF('NiftyOption Chain'!$L$4:$L$142,OptionAnalysis!H22,'NiftyOption Chain'!$H$4:$H$143)</f>
        <v>539043</v>
      </c>
      <c r="E22" s="223">
        <f>SUMIF('NiftyOption Chain'!$L$4:$L$142,OptionAnalysis!H22,'NiftyOption Chain'!$K$4:$K$143)</f>
        <v>-3.6000000000000005</v>
      </c>
      <c r="F22" s="223">
        <f>SUMIF('NiftyOption Chain'!$L$4:$L$142,OptionAnalysis!H22,'NiftyOption Chain'!$J$4:$J$143)</f>
        <v>3.8</v>
      </c>
      <c r="G22" s="223">
        <f>SUMIF('NiftyOption Chain'!$L$4:$L$142,OptionAnalysis!H22,'NiftyOption Chain'!$I$4:$I$143)</f>
        <v>17.399999999999999</v>
      </c>
      <c r="H22" s="7">
        <f t="shared" si="4"/>
        <v>18500</v>
      </c>
      <c r="I22" s="70">
        <f>SUMIF('NiftyOption Chain'!$L$4:$L$142,OptionAnalysis!H22,'NiftyOption Chain'!$O$4:$O$143)</f>
        <v>0</v>
      </c>
      <c r="J22" s="70">
        <f>SUMIF('NiftyOption Chain'!$L$4:$L$142,OptionAnalysis!H22,'NiftyOption Chain'!$N$4:$N$143)</f>
        <v>277.8</v>
      </c>
      <c r="K22" s="70">
        <f>SUMIF('NiftyOption Chain'!$L$4:$L$142,OptionAnalysis!H22,'NiftyOption Chain'!$M$4:$M$143)</f>
        <v>-15.699999999999989</v>
      </c>
      <c r="L22" s="230">
        <f>SUMIF('NiftyOption Chain'!$L$4:$L$142,OptionAnalysis!H22,'NiftyOption Chain'!$P$4:$P$143)</f>
        <v>34556</v>
      </c>
      <c r="M22" s="230">
        <f>SUMIF('NiftyOption Chain'!$L$4:$L$142,OptionAnalysis!H22,'NiftyOption Chain'!$Q$4:$Q$143)</f>
        <v>920</v>
      </c>
      <c r="N22" s="230">
        <f>SUMIF('NiftyOption Chain'!$L$4:$L$142,OptionAnalysis!H22,'NiftyOption Chain'!$R$4:$R$143)</f>
        <v>5380</v>
      </c>
      <c r="O22" s="250" t="str">
        <f>INDEX('NiftyOption Chain'!$V$4:$V$143,MATCH(OptionAnalysis!$H22,'NiftyOption Chain'!$L$4:$L$143,0),1)</f>
        <v>Short Build UP</v>
      </c>
      <c r="P22" s="27">
        <f t="shared" si="1"/>
        <v>18500</v>
      </c>
      <c r="Q22" s="27">
        <f t="shared" si="2"/>
        <v>3.3557884231536925E-2</v>
      </c>
      <c r="R22" s="251">
        <f t="shared" si="3"/>
        <v>-154940</v>
      </c>
    </row>
    <row r="23" spans="1:25" ht="15.6" x14ac:dyDescent="0.3">
      <c r="A23" s="69" t="str">
        <f>INDEX('NiftyOption Chain'!$C$4:$C$143,MATCH(OptionAnalysis!$H23,'NiftyOption Chain'!$L$4:$L$143,0),1)</f>
        <v>Short Build UP</v>
      </c>
      <c r="B23" s="231">
        <f>SUMIF('NiftyOption Chain'!$L$4:$L$142,OptionAnalysis!H23,'NiftyOption Chain'!$F$4:$F$143)</f>
        <v>55590</v>
      </c>
      <c r="C23" s="231">
        <f>SUMIF('NiftyOption Chain'!$L$4:$L$142,OptionAnalysis!H23,'NiftyOption Chain'!$G$4:$G$143)</f>
        <v>13596</v>
      </c>
      <c r="D23" s="223">
        <f>SUMIF('NiftyOption Chain'!$L$4:$L$142,OptionAnalysis!H23,'NiftyOption Chain'!$H$4:$H$143)</f>
        <v>176289</v>
      </c>
      <c r="E23" s="223">
        <f>SUMIF('NiftyOption Chain'!$L$4:$L$142,OptionAnalysis!H23,'NiftyOption Chain'!$K$4:$K$143)</f>
        <v>-2.25</v>
      </c>
      <c r="F23" s="223">
        <f>SUMIF('NiftyOption Chain'!$L$4:$L$142,OptionAnalysis!H23,'NiftyOption Chain'!$J$4:$J$143)</f>
        <v>2.4500000000000002</v>
      </c>
      <c r="G23" s="223">
        <f>SUMIF('NiftyOption Chain'!$L$4:$L$142,OptionAnalysis!H23,'NiftyOption Chain'!$I$4:$I$143)</f>
        <v>18.5</v>
      </c>
      <c r="H23" s="7">
        <f t="shared" si="4"/>
        <v>18550</v>
      </c>
      <c r="I23" s="70">
        <f>SUMIF('NiftyOption Chain'!$L$4:$L$142,OptionAnalysis!H23,'NiftyOption Chain'!$O$4:$O$143)</f>
        <v>0</v>
      </c>
      <c r="J23" s="70">
        <f>SUMIF('NiftyOption Chain'!$L$4:$L$142,OptionAnalysis!H23,'NiftyOption Chain'!$N$4:$N$143)</f>
        <v>326.3</v>
      </c>
      <c r="K23" s="70">
        <f>SUMIF('NiftyOption Chain'!$L$4:$L$142,OptionAnalysis!H23,'NiftyOption Chain'!$M$4:$M$143)</f>
        <v>-14.099999999999966</v>
      </c>
      <c r="L23" s="230">
        <f>SUMIF('NiftyOption Chain'!$L$4:$L$142,OptionAnalysis!H23,'NiftyOption Chain'!$P$4:$P$143)</f>
        <v>1399</v>
      </c>
      <c r="M23" s="230">
        <f>SUMIF('NiftyOption Chain'!$L$4:$L$142,OptionAnalysis!H23,'NiftyOption Chain'!$Q$4:$Q$143)</f>
        <v>10</v>
      </c>
      <c r="N23" s="230">
        <f>SUMIF('NiftyOption Chain'!$L$4:$L$142,OptionAnalysis!H23,'NiftyOption Chain'!$R$4:$R$143)</f>
        <v>490</v>
      </c>
      <c r="O23" s="250" t="str">
        <f>INDEX('NiftyOption Chain'!$V$4:$V$143,MATCH(OptionAnalysis!$H23,'NiftyOption Chain'!$L$4:$L$143,0),1)</f>
        <v>Short Build UP</v>
      </c>
      <c r="P23" s="27">
        <f t="shared" si="1"/>
        <v>18550</v>
      </c>
      <c r="Q23" s="27">
        <f t="shared" si="2"/>
        <v>8.8145349883072491E-3</v>
      </c>
      <c r="R23" s="251">
        <f t="shared" si="3"/>
        <v>-55100</v>
      </c>
      <c r="X23" s="432"/>
      <c r="Y23" s="432"/>
    </row>
    <row r="24" spans="1:25" ht="15.6" x14ac:dyDescent="0.3">
      <c r="A24" s="69" t="str">
        <f>INDEX('NiftyOption Chain'!$C$4:$C$143,MATCH(OptionAnalysis!$H24,'NiftyOption Chain'!$L$4:$L$143,0),1)</f>
        <v>Short Build UP</v>
      </c>
      <c r="B24" s="231">
        <f>SUMIF('NiftyOption Chain'!$L$4:$L$142,OptionAnalysis!H24,'NiftyOption Chain'!$F$4:$F$143)</f>
        <v>129533</v>
      </c>
      <c r="C24" s="231">
        <f>SUMIF('NiftyOption Chain'!$L$4:$L$142,OptionAnalysis!H24,'NiftyOption Chain'!$G$4:$G$143)</f>
        <v>31436</v>
      </c>
      <c r="D24" s="223">
        <f>SUMIF('NiftyOption Chain'!$L$4:$L$142,OptionAnalysis!H24,'NiftyOption Chain'!$H$4:$H$143)</f>
        <v>306863</v>
      </c>
      <c r="E24" s="223">
        <f>SUMIF('NiftyOption Chain'!$L$4:$L$142,OptionAnalysis!H24,'NiftyOption Chain'!$K$4:$K$143)</f>
        <v>-1.2999999999999998</v>
      </c>
      <c r="F24" s="223">
        <f>SUMIF('NiftyOption Chain'!$L$4:$L$142,OptionAnalysis!H24,'NiftyOption Chain'!$J$4:$J$143)</f>
        <v>1.85</v>
      </c>
      <c r="G24" s="223">
        <f>SUMIF('NiftyOption Chain'!$L$4:$L$142,OptionAnalysis!H24,'NiftyOption Chain'!$I$4:$I$143)</f>
        <v>19.670000000000002</v>
      </c>
      <c r="H24" s="7">
        <f t="shared" si="4"/>
        <v>18600</v>
      </c>
      <c r="I24" s="70">
        <f>SUMIF('NiftyOption Chain'!$L$4:$L$142,OptionAnalysis!H24,'NiftyOption Chain'!$O$4:$O$143)</f>
        <v>0</v>
      </c>
      <c r="J24" s="70">
        <f>SUMIF('NiftyOption Chain'!$L$4:$L$142,OptionAnalysis!H24,'NiftyOption Chain'!$N$4:$N$143)</f>
        <v>376.55</v>
      </c>
      <c r="K24" s="70">
        <f>SUMIF('NiftyOption Chain'!$L$4:$L$142,OptionAnalysis!H24,'NiftyOption Chain'!$M$4:$M$143)</f>
        <v>-12.199999999999989</v>
      </c>
      <c r="L24" s="230">
        <f>SUMIF('NiftyOption Chain'!$L$4:$L$142,OptionAnalysis!H24,'NiftyOption Chain'!$P$4:$P$143)</f>
        <v>3440</v>
      </c>
      <c r="M24" s="230">
        <f>SUMIF('NiftyOption Chain'!$L$4:$L$142,OptionAnalysis!H24,'NiftyOption Chain'!$Q$4:$Q$143)</f>
        <v>109</v>
      </c>
      <c r="N24" s="230">
        <f>SUMIF('NiftyOption Chain'!$L$4:$L$142,OptionAnalysis!H24,'NiftyOption Chain'!$R$4:$R$143)</f>
        <v>1115</v>
      </c>
      <c r="O24" s="250" t="str">
        <f>INDEX('NiftyOption Chain'!$V$4:$V$143,MATCH(OptionAnalysis!$H24,'NiftyOption Chain'!$L$4:$L$143,0),1)</f>
        <v>Short Build UP</v>
      </c>
      <c r="P24" s="27">
        <f t="shared" si="1"/>
        <v>18600</v>
      </c>
      <c r="Q24" s="27">
        <f t="shared" si="2"/>
        <v>8.6078451051083502E-3</v>
      </c>
      <c r="R24" s="251">
        <f t="shared" si="3"/>
        <v>-128418</v>
      </c>
    </row>
    <row r="25" spans="1:25" ht="15.6" x14ac:dyDescent="0.3">
      <c r="A25" s="69" t="str">
        <f>INDEX('NiftyOption Chain'!$C$4:$C$143,MATCH(OptionAnalysis!$H25,'NiftyOption Chain'!$L$4:$L$143,0),1)</f>
        <v>Short Build UP</v>
      </c>
      <c r="B25" s="231">
        <f>SUMIF('NiftyOption Chain'!$L$4:$L$142,OptionAnalysis!H25,'NiftyOption Chain'!$F$4:$F$143)</f>
        <v>36134</v>
      </c>
      <c r="C25" s="231">
        <f>SUMIF('NiftyOption Chain'!$L$4:$L$142,OptionAnalysis!H25,'NiftyOption Chain'!$G$4:$G$143)</f>
        <v>7181</v>
      </c>
      <c r="D25" s="223">
        <f>SUMIF('NiftyOption Chain'!$L$4:$L$142,OptionAnalysis!H25,'NiftyOption Chain'!$H$4:$H$143)</f>
        <v>84693</v>
      </c>
      <c r="E25" s="223">
        <f>SUMIF('NiftyOption Chain'!$L$4:$L$142,OptionAnalysis!H25,'NiftyOption Chain'!$K$4:$K$143)</f>
        <v>-0.64999999999999991</v>
      </c>
      <c r="F25" s="223">
        <f>SUMIF('NiftyOption Chain'!$L$4:$L$142,OptionAnalysis!H25,'NiftyOption Chain'!$J$4:$J$143)</f>
        <v>1.5</v>
      </c>
      <c r="G25" s="223">
        <f>SUMIF('NiftyOption Chain'!$L$4:$L$142,OptionAnalysis!H25,'NiftyOption Chain'!$I$4:$I$143)</f>
        <v>21.13</v>
      </c>
      <c r="H25" s="7">
        <f t="shared" si="4"/>
        <v>18650</v>
      </c>
      <c r="I25" s="70">
        <f>SUMIF('NiftyOption Chain'!$L$4:$L$142,OptionAnalysis!H25,'NiftyOption Chain'!$O$4:$O$143)</f>
        <v>0</v>
      </c>
      <c r="J25" s="70">
        <f>SUMIF('NiftyOption Chain'!$L$4:$L$142,OptionAnalysis!H25,'NiftyOption Chain'!$N$4:$N$143)</f>
        <v>424.8</v>
      </c>
      <c r="K25" s="70">
        <f>SUMIF('NiftyOption Chain'!$L$4:$L$142,OptionAnalysis!H25,'NiftyOption Chain'!$M$4:$M$143)</f>
        <v>-13.699999999999989</v>
      </c>
      <c r="L25" s="230">
        <f>SUMIF('NiftyOption Chain'!$L$4:$L$142,OptionAnalysis!H25,'NiftyOption Chain'!$P$4:$P$143)</f>
        <v>291</v>
      </c>
      <c r="M25" s="230">
        <f>SUMIF('NiftyOption Chain'!$L$4:$L$142,OptionAnalysis!H25,'NiftyOption Chain'!$Q$4:$Q$143)</f>
        <v>199</v>
      </c>
      <c r="N25" s="230">
        <f>SUMIF('NiftyOption Chain'!$L$4:$L$142,OptionAnalysis!H25,'NiftyOption Chain'!$R$4:$R$143)</f>
        <v>264</v>
      </c>
      <c r="O25" s="250" t="str">
        <f>INDEX('NiftyOption Chain'!$V$4:$V$143,MATCH(OptionAnalysis!$H25,'NiftyOption Chain'!$L$4:$L$143,0),1)</f>
        <v>Short Build UP</v>
      </c>
      <c r="P25" s="27">
        <f t="shared" si="1"/>
        <v>18650</v>
      </c>
      <c r="Q25" s="27">
        <f t="shared" si="2"/>
        <v>7.3061382631316764E-3</v>
      </c>
      <c r="R25" s="251">
        <f t="shared" si="3"/>
        <v>-35870</v>
      </c>
    </row>
    <row r="26" spans="1:25" ht="16.2" thickBot="1" x14ac:dyDescent="0.35">
      <c r="A26" s="69" t="str">
        <f>INDEX('NiftyOption Chain'!$C$4:$C$143,MATCH(OptionAnalysis!$H26,'NiftyOption Chain'!$L$4:$L$143,0),1)</f>
        <v>Short Build UP</v>
      </c>
      <c r="B26" s="231">
        <f>SUMIF('NiftyOption Chain'!$L$4:$L$142,OptionAnalysis!H26,'NiftyOption Chain'!$F$4:$F$143)</f>
        <v>153130</v>
      </c>
      <c r="C26" s="231">
        <f>SUMIF('NiftyOption Chain'!$L$4:$L$142,OptionAnalysis!H26,'NiftyOption Chain'!$G$4:$G$143)</f>
        <v>25784</v>
      </c>
      <c r="D26" s="223">
        <f>SUMIF('NiftyOption Chain'!$L$4:$L$142,OptionAnalysis!H26,'NiftyOption Chain'!$H$4:$H$143)</f>
        <v>235351</v>
      </c>
      <c r="E26" s="223">
        <f>SUMIF('NiftyOption Chain'!$L$4:$L$142,OptionAnalysis!H26,'NiftyOption Chain'!$K$4:$K$143)</f>
        <v>-0.45</v>
      </c>
      <c r="F26" s="223">
        <f>SUMIF('NiftyOption Chain'!$L$4:$L$142,OptionAnalysis!H26,'NiftyOption Chain'!$J$4:$J$143)</f>
        <v>1.2</v>
      </c>
      <c r="G26" s="223">
        <f>SUMIF('NiftyOption Chain'!$L$4:$L$142,OptionAnalysis!H26,'NiftyOption Chain'!$I$4:$I$143)</f>
        <v>22.73</v>
      </c>
      <c r="H26" s="9">
        <f t="shared" si="4"/>
        <v>18700</v>
      </c>
      <c r="I26" s="70">
        <f>SUMIF('NiftyOption Chain'!$L$4:$L$142,OptionAnalysis!H26,'NiftyOption Chain'!$O$4:$O$143)</f>
        <v>0</v>
      </c>
      <c r="J26" s="70">
        <f>SUMIF('NiftyOption Chain'!$L$4:$L$142,OptionAnalysis!H26,'NiftyOption Chain'!$N$4:$N$143)</f>
        <v>476.9</v>
      </c>
      <c r="K26" s="70">
        <f>SUMIF('NiftyOption Chain'!$L$4:$L$142,OptionAnalysis!H26,'NiftyOption Chain'!$M$4:$M$143)</f>
        <v>-10.950000000000044</v>
      </c>
      <c r="L26" s="230">
        <f>SUMIF('NiftyOption Chain'!$L$4:$L$142,OptionAnalysis!H26,'NiftyOption Chain'!$P$4:$P$143)</f>
        <v>943</v>
      </c>
      <c r="M26" s="230">
        <f>SUMIF('NiftyOption Chain'!$L$4:$L$142,OptionAnalysis!H26,'NiftyOption Chain'!$Q$4:$Q$143)</f>
        <v>83</v>
      </c>
      <c r="N26" s="230">
        <f>SUMIF('NiftyOption Chain'!$L$4:$L$142,OptionAnalysis!H26,'NiftyOption Chain'!$R$4:$R$143)</f>
        <v>291</v>
      </c>
      <c r="O26" s="250" t="str">
        <f>INDEX('NiftyOption Chain'!$V$4:$V$143,MATCH(OptionAnalysis!$H26,'NiftyOption Chain'!$L$4:$L$143,0),1)</f>
        <v>Short Build UP</v>
      </c>
      <c r="P26" s="27">
        <f t="shared" si="1"/>
        <v>18700</v>
      </c>
      <c r="Q26" s="27">
        <f t="shared" si="2"/>
        <v>1.900346111147391E-3</v>
      </c>
      <c r="R26" s="251">
        <f t="shared" si="3"/>
        <v>-152839</v>
      </c>
      <c r="S26" s="248"/>
      <c r="T26" s="248"/>
      <c r="U26" s="248"/>
    </row>
    <row r="27" spans="1:25" ht="22.2" customHeight="1" thickBot="1" x14ac:dyDescent="0.5">
      <c r="A27" s="72"/>
      <c r="B27" s="233">
        <f>SUM(B6:B26)*50</f>
        <v>75700650</v>
      </c>
      <c r="C27" s="233">
        <f>SUM(C6:C26)*50</f>
        <v>17382550</v>
      </c>
      <c r="D27" s="437" t="str">
        <f>IF(C27&gt;M27,"BEARISH",IF(C27&lt;M27,"BULLISH",""))</f>
        <v>BULLISH</v>
      </c>
      <c r="E27" s="438"/>
      <c r="F27" s="73"/>
      <c r="G27" s="452" t="s">
        <v>42</v>
      </c>
      <c r="H27" s="453"/>
      <c r="I27" s="446" t="s">
        <v>44</v>
      </c>
      <c r="J27" s="447"/>
      <c r="K27" s="443" t="str">
        <f>IF(B27&lt;N27,"BULLISH",IF(B27&gt;N27,"BEARISH",""))</f>
        <v>BEARISH</v>
      </c>
      <c r="L27" s="438"/>
      <c r="M27" s="74">
        <f>SUM(M6:M26)*50</f>
        <v>17446900</v>
      </c>
      <c r="N27" s="75">
        <f>SUM(N6:N26)*50</f>
        <v>58526400</v>
      </c>
      <c r="O27" s="76"/>
      <c r="P27" s="248"/>
      <c r="Q27" s="248"/>
      <c r="R27" s="248"/>
      <c r="S27" s="248"/>
      <c r="T27" s="248"/>
      <c r="U27" s="248"/>
    </row>
    <row r="28" spans="1:25" ht="17.399999999999999" customHeight="1" x14ac:dyDescent="0.3">
      <c r="A28" s="433" t="s">
        <v>40</v>
      </c>
      <c r="B28" s="77"/>
      <c r="C28" s="77"/>
      <c r="D28" s="439"/>
      <c r="E28" s="440"/>
      <c r="F28" s="77"/>
      <c r="G28" s="454"/>
      <c r="H28" s="455"/>
      <c r="I28" s="448">
        <f>'NiftyOption Chain'!F2</f>
        <v>18222.349999999999</v>
      </c>
      <c r="J28" s="449"/>
      <c r="K28" s="444"/>
      <c r="L28" s="440"/>
      <c r="M28" s="77"/>
      <c r="N28" s="77"/>
      <c r="O28" s="435" t="s">
        <v>41</v>
      </c>
      <c r="P28" s="248"/>
      <c r="Q28" s="248"/>
      <c r="R28" s="248"/>
      <c r="S28" s="248"/>
      <c r="T28" s="248"/>
      <c r="U28" s="248"/>
    </row>
    <row r="29" spans="1:25" ht="10.199999999999999" customHeight="1" thickBot="1" x14ac:dyDescent="0.35">
      <c r="A29" s="434"/>
      <c r="B29" s="77"/>
      <c r="C29" s="77"/>
      <c r="D29" s="441"/>
      <c r="E29" s="442"/>
      <c r="F29" s="77"/>
      <c r="G29" s="456"/>
      <c r="H29" s="457"/>
      <c r="I29" s="450"/>
      <c r="J29" s="451"/>
      <c r="K29" s="445"/>
      <c r="L29" s="442"/>
      <c r="M29" s="77"/>
      <c r="N29" s="77"/>
      <c r="O29" s="436"/>
      <c r="P29" s="248"/>
      <c r="Q29" s="248"/>
      <c r="R29" s="248"/>
      <c r="S29" s="248"/>
      <c r="T29" s="248"/>
      <c r="U29" s="248"/>
    </row>
    <row r="30" spans="1:25" ht="15" thickBot="1" x14ac:dyDescent="0.35">
      <c r="A30" s="78"/>
      <c r="B30" s="79"/>
      <c r="C30" s="79"/>
      <c r="D30" s="79"/>
      <c r="E30" s="79"/>
      <c r="F30" s="79"/>
      <c r="G30" s="80" t="s">
        <v>63</v>
      </c>
      <c r="H30" s="81" t="str">
        <f>IFERROR('NiftyOption Chain'!E4,"")</f>
        <v>10-Nov-2022</v>
      </c>
      <c r="I30" s="79"/>
      <c r="J30" s="79"/>
      <c r="K30" s="79"/>
      <c r="L30" s="79"/>
      <c r="M30" s="79"/>
      <c r="N30" s="79"/>
      <c r="O30" s="82"/>
      <c r="P30" s="248"/>
      <c r="Q30" s="248"/>
      <c r="R30" s="248"/>
      <c r="S30" s="248"/>
      <c r="T30" s="248"/>
      <c r="U30" s="248"/>
    </row>
  </sheetData>
  <sheetProtection algorithmName="SHA-512" hashValue="OsUkZYnxsRDXXKQzLKeN1BXJe6psAe2OPdz3S9AGejs9JdSv3jn4DrUSCPcxiBQUE/wInjjqRoHJjNZOuWR6Tg==" saltValue="Gh8/NxFbR5fRHzukXAqh/g==" spinCount="100000" sheet="1" objects="1" scenarios="1"/>
  <mergeCells count="15">
    <mergeCell ref="X18:Y18"/>
    <mergeCell ref="X23:Y23"/>
    <mergeCell ref="A28:A29"/>
    <mergeCell ref="O28:O29"/>
    <mergeCell ref="D27:E29"/>
    <mergeCell ref="K27:L29"/>
    <mergeCell ref="I27:J27"/>
    <mergeCell ref="I28:J29"/>
    <mergeCell ref="G27:H29"/>
    <mergeCell ref="S2:U2"/>
    <mergeCell ref="A2:A3"/>
    <mergeCell ref="M3:N4"/>
    <mergeCell ref="M2:N2"/>
    <mergeCell ref="K3:L4"/>
    <mergeCell ref="D2:G3"/>
  </mergeCells>
  <conditionalFormatting sqref="A6:A26">
    <cfRule type="containsText" dxfId="53" priority="19" operator="containsText" text="Short Covering">
      <formula>NOT(ISERROR(SEARCH("Short Covering",A6)))</formula>
    </cfRule>
    <cfRule type="containsText" dxfId="52" priority="20" operator="containsText" text="Short Build UP">
      <formula>NOT(ISERROR(SEARCH("Short Build UP",A6)))</formula>
    </cfRule>
    <cfRule type="containsText" dxfId="51" priority="21" operator="containsText" text="Long Liquidation">
      <formula>NOT(ISERROR(SEARCH("Long Liquidation",A6)))</formula>
    </cfRule>
    <cfRule type="containsText" dxfId="50" priority="22" operator="containsText" text="Long Build Up">
      <formula>NOT(ISERROR(SEARCH("Long Build Up",A6)))</formula>
    </cfRule>
  </conditionalFormatting>
  <conditionalFormatting sqref="O6:R6 Q26:U30 O7:O26 P7:P15 P17:P30 Q7:R26">
    <cfRule type="containsText" dxfId="49" priority="15" operator="containsText" text="Short Covering">
      <formula>NOT(ISERROR(SEARCH("Short Covering",O6)))</formula>
    </cfRule>
    <cfRule type="containsText" dxfId="48" priority="16" operator="containsText" text="Long Liquidation">
      <formula>NOT(ISERROR(SEARCH("Long Liquidation",O6)))</formula>
    </cfRule>
    <cfRule type="containsText" dxfId="47" priority="17" operator="containsText" text="Short Build UP">
      <formula>NOT(ISERROR(SEARCH("Short Build UP",O6)))</formula>
    </cfRule>
    <cfRule type="containsText" dxfId="46" priority="18" operator="containsText" text="Long Build UP">
      <formula>NOT(ISERROR(SEARCH("Long Build UP",O6)))</formula>
    </cfRule>
  </conditionalFormatting>
  <conditionalFormatting sqref="D27:E29">
    <cfRule type="containsText" dxfId="45" priority="13" operator="containsText" text="BEARISH">
      <formula>NOT(ISERROR(SEARCH("BEARISH",D27)))</formula>
    </cfRule>
    <cfRule type="containsText" dxfId="44" priority="14" operator="containsText" text="BULLISH">
      <formula>NOT(ISERROR(SEARCH("BULLISH",D27)))</formula>
    </cfRule>
  </conditionalFormatting>
  <conditionalFormatting sqref="K27:L29">
    <cfRule type="containsText" dxfId="43" priority="11" operator="containsText" text="BEARISH">
      <formula>NOT(ISERROR(SEARCH("BEARISH",K27)))</formula>
    </cfRule>
    <cfRule type="containsText" dxfId="42" priority="12" operator="containsText" text="BULLISH">
      <formula>NOT(ISERROR(SEARCH("BULLISH",K27)))</formula>
    </cfRule>
  </conditionalFormatting>
  <conditionalFormatting sqref="B6:B26">
    <cfRule type="top10" dxfId="41" priority="10" rank="2"/>
  </conditionalFormatting>
  <conditionalFormatting sqref="C6:C26">
    <cfRule type="top10" dxfId="40" priority="9" rank="2"/>
  </conditionalFormatting>
  <conditionalFormatting sqref="M6:M26">
    <cfRule type="top10" dxfId="39" priority="8" rank="2"/>
  </conditionalFormatting>
  <conditionalFormatting sqref="N6:N26">
    <cfRule type="top10" dxfId="38" priority="7" rank="2"/>
  </conditionalFormatting>
  <conditionalFormatting sqref="D6:D26">
    <cfRule type="dataBar" priority="6">
      <dataBar>
        <cfvo type="min"/>
        <cfvo type="max"/>
        <color rgb="FF008AEF"/>
      </dataBar>
      <extLst>
        <ext xmlns:x14="http://schemas.microsoft.com/office/spreadsheetml/2009/9/main" uri="{B025F937-C7B1-47D3-B67F-A62EFF666E3E}">
          <x14:id>{7C5B0D77-75D3-4DE4-B505-4647A3F171F8}</x14:id>
        </ext>
      </extLst>
    </cfRule>
  </conditionalFormatting>
  <conditionalFormatting sqref="L6:L26">
    <cfRule type="dataBar" priority="5">
      <dataBar>
        <cfvo type="min"/>
        <cfvo type="max"/>
        <color rgb="FF008AEF"/>
      </dataBar>
      <extLst>
        <ext xmlns:x14="http://schemas.microsoft.com/office/spreadsheetml/2009/9/main" uri="{B025F937-C7B1-47D3-B67F-A62EFF666E3E}">
          <x14:id>{D1434587-58FB-478D-8E07-8EAF3D0AE96D}</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M">
                <anchor moveWithCells="1" sizeWithCells="1">
                  <from>
                    <xdr:col>1</xdr:col>
                    <xdr:colOff>68580</xdr:colOff>
                    <xdr:row>1</xdr:row>
                    <xdr:rowOff>0</xdr:rowOff>
                  </from>
                  <to>
                    <xdr:col>2</xdr:col>
                    <xdr:colOff>792480</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C5B0D77-75D3-4DE4-B505-4647A3F171F8}">
            <x14:dataBar minLength="0" maxLength="100" border="1" negativeBarBorderColorSameAsPositive="0">
              <x14:cfvo type="autoMin"/>
              <x14:cfvo type="autoMax"/>
              <x14:borderColor rgb="FF008AEF"/>
              <x14:negativeFillColor rgb="FFFF0000"/>
              <x14:negativeBorderColor rgb="FFFF0000"/>
              <x14:axisColor rgb="FF000000"/>
            </x14:dataBar>
          </x14:cfRule>
          <xm:sqref>D6:D26</xm:sqref>
        </x14:conditionalFormatting>
        <x14:conditionalFormatting xmlns:xm="http://schemas.microsoft.com/office/excel/2006/main">
          <x14:cfRule type="dataBar" id="{D1434587-58FB-478D-8E07-8EAF3D0AE96D}">
            <x14:dataBar minLength="0" maxLength="100" border="1" negativeBarBorderColorSameAsPositive="0">
              <x14:cfvo type="autoMin"/>
              <x14:cfvo type="autoMax"/>
              <x14:borderColor rgb="FF008AEF"/>
              <x14:negativeFillColor rgb="FFFF0000"/>
              <x14:negativeBorderColor rgb="FFFF0000"/>
              <x14:axisColor rgb="FF000000"/>
            </x14:dataBar>
          </x14:cfRule>
          <xm:sqref>L6:L26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8E8DB-0B9D-4482-A5D0-0840EF200546}">
  <sheetPr codeName="Sheet10"/>
  <dimension ref="D2:L13"/>
  <sheetViews>
    <sheetView showGridLines="0" zoomScale="160" zoomScaleNormal="160" workbookViewId="0">
      <selection activeCell="L7" sqref="L7"/>
    </sheetView>
  </sheetViews>
  <sheetFormatPr defaultRowHeight="14.4" x14ac:dyDescent="0.3"/>
  <cols>
    <col min="3" max="3" width="11" customWidth="1"/>
    <col min="7" max="7" width="6.33203125" customWidth="1"/>
    <col min="10" max="10" width="9.6640625" bestFit="1" customWidth="1"/>
    <col min="11" max="11" width="9.33203125" bestFit="1" customWidth="1"/>
    <col min="12" max="12" width="17.6640625" bestFit="1" customWidth="1"/>
  </cols>
  <sheetData>
    <row r="2" spans="4:12" ht="18" customHeight="1" x14ac:dyDescent="0.3"/>
    <row r="3" spans="4:12" ht="18" customHeight="1" thickBot="1" x14ac:dyDescent="0.35"/>
    <row r="4" spans="4:12" ht="16.95" customHeight="1" thickBot="1" x14ac:dyDescent="0.35">
      <c r="D4" s="459" t="s">
        <v>118</v>
      </c>
      <c r="E4" s="460"/>
      <c r="F4" s="460"/>
      <c r="G4" s="461"/>
      <c r="J4" s="234" t="s">
        <v>59</v>
      </c>
      <c r="K4" s="235" t="s">
        <v>48</v>
      </c>
      <c r="L4" s="236" t="s">
        <v>120</v>
      </c>
    </row>
    <row r="5" spans="4:12" ht="16.2" customHeight="1" thickBot="1" x14ac:dyDescent="0.35">
      <c r="D5" s="462"/>
      <c r="E5" s="463"/>
      <c r="F5" s="463"/>
      <c r="G5" s="464"/>
      <c r="J5" s="237">
        <f>OptionAnalysis!P12</f>
        <v>18000</v>
      </c>
      <c r="K5" s="238">
        <f>OptionAnalysis!Q12</f>
        <v>2.7926490363065888</v>
      </c>
      <c r="L5" s="239">
        <f>OptionAnalysis!R12*50</f>
        <v>6998950</v>
      </c>
    </row>
    <row r="6" spans="4:12" ht="15" customHeight="1" x14ac:dyDescent="0.3">
      <c r="D6" s="465" t="s">
        <v>114</v>
      </c>
      <c r="E6" s="466"/>
      <c r="F6" s="473" t="s">
        <v>116</v>
      </c>
      <c r="G6" s="474"/>
      <c r="J6" s="240">
        <f>OptionAnalysis!P13</f>
        <v>18050</v>
      </c>
      <c r="K6" s="241">
        <f>OptionAnalysis!Q13</f>
        <v>3.6873120043751708</v>
      </c>
      <c r="L6" s="239">
        <f>OptionAnalysis!R13*50</f>
        <v>1965500</v>
      </c>
    </row>
    <row r="7" spans="4:12" ht="13.95" customHeight="1" x14ac:dyDescent="0.3">
      <c r="D7" s="467" t="s">
        <v>35</v>
      </c>
      <c r="E7" s="468"/>
      <c r="F7" s="475" t="s">
        <v>116</v>
      </c>
      <c r="G7" s="476"/>
      <c r="J7" s="240">
        <f>OptionAnalysis!P14</f>
        <v>18100</v>
      </c>
      <c r="K7" s="241">
        <f>OptionAnalysis!Q14</f>
        <v>1.7125475553880403</v>
      </c>
      <c r="L7" s="239">
        <f>OptionAnalysis!R14*50</f>
        <v>3024800</v>
      </c>
    </row>
    <row r="8" spans="4:12" ht="15.6" customHeight="1" x14ac:dyDescent="0.3">
      <c r="D8" s="469" t="s">
        <v>115</v>
      </c>
      <c r="E8" s="470"/>
      <c r="F8" s="475" t="s">
        <v>122</v>
      </c>
      <c r="G8" s="476"/>
      <c r="J8" s="240">
        <f>OptionAnalysis!P15</f>
        <v>18150</v>
      </c>
      <c r="K8" s="241">
        <f>OptionAnalysis!Q15</f>
        <v>2.3519802743103715</v>
      </c>
      <c r="L8" s="239">
        <f>OptionAnalysis!R15*50</f>
        <v>1754600</v>
      </c>
    </row>
    <row r="9" spans="4:12" ht="18.600000000000001" customHeight="1" thickBot="1" x14ac:dyDescent="0.45">
      <c r="D9" s="471" t="s">
        <v>119</v>
      </c>
      <c r="E9" s="472"/>
      <c r="F9" s="477"/>
      <c r="G9" s="478"/>
      <c r="J9" s="243">
        <f>OptionAnalysis!P16</f>
        <v>18200</v>
      </c>
      <c r="K9" s="244">
        <f>OptionAnalysis!Q16</f>
        <v>1.0503371201625566</v>
      </c>
      <c r="L9" s="242">
        <f>OptionAnalysis!R16*50</f>
        <v>354250</v>
      </c>
    </row>
    <row r="10" spans="4:12" ht="15.6" x14ac:dyDescent="0.3">
      <c r="D10" s="458"/>
      <c r="E10" s="458"/>
      <c r="F10" s="458"/>
      <c r="G10" s="458"/>
      <c r="J10" s="240">
        <f>OptionAnalysis!P17</f>
        <v>18250</v>
      </c>
      <c r="K10" s="241">
        <f>OptionAnalysis!Q17</f>
        <v>0.64186367838746716</v>
      </c>
      <c r="L10" s="242">
        <f>OptionAnalysis!R17*50</f>
        <v>-1762550</v>
      </c>
    </row>
    <row r="11" spans="4:12" ht="15.6" x14ac:dyDescent="0.3">
      <c r="J11" s="240">
        <f>OptionAnalysis!P18</f>
        <v>18300</v>
      </c>
      <c r="K11" s="241">
        <f>OptionAnalysis!Q18</f>
        <v>0.27857091549042845</v>
      </c>
      <c r="L11" s="242">
        <f>OptionAnalysis!R18*50</f>
        <v>-8034700</v>
      </c>
    </row>
    <row r="12" spans="4:12" ht="15.6" x14ac:dyDescent="0.3">
      <c r="J12" s="240">
        <f>OptionAnalysis!P19</f>
        <v>18350</v>
      </c>
      <c r="K12" s="241">
        <f>OptionAnalysis!Q19</f>
        <v>0.19700281453979279</v>
      </c>
      <c r="L12" s="242">
        <f>OptionAnalysis!R19*50</f>
        <v>-2681850</v>
      </c>
    </row>
    <row r="13" spans="4:12" ht="16.2" thickBot="1" x14ac:dyDescent="0.35">
      <c r="J13" s="245">
        <f>OptionAnalysis!P20</f>
        <v>18400</v>
      </c>
      <c r="K13" s="246">
        <f>OptionAnalysis!Q20</f>
        <v>0.1328125</v>
      </c>
      <c r="L13" s="247">
        <f>OptionAnalysis!R20*50</f>
        <v>-6116100</v>
      </c>
    </row>
  </sheetData>
  <mergeCells count="10">
    <mergeCell ref="D10:G10"/>
    <mergeCell ref="D4:G5"/>
    <mergeCell ref="D6:E6"/>
    <mergeCell ref="D7:E7"/>
    <mergeCell ref="D8:E8"/>
    <mergeCell ref="D9:E9"/>
    <mergeCell ref="F6:G6"/>
    <mergeCell ref="F7:G7"/>
    <mergeCell ref="F8:G8"/>
    <mergeCell ref="F9:G9"/>
  </mergeCells>
  <conditionalFormatting sqref="F6:F9">
    <cfRule type="cellIs" dxfId="37" priority="3" operator="equal">
      <formula>"P"</formula>
    </cfRule>
    <cfRule type="cellIs" dxfId="36" priority="4" operator="equal">
      <formula>"N"</formula>
    </cfRule>
  </conditionalFormatting>
  <conditionalFormatting sqref="L5:L13">
    <cfRule type="cellIs" dxfId="35" priority="1" operator="lessThan">
      <formula>0</formula>
    </cfRule>
    <cfRule type="cellIs" dxfId="34" priority="2"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560D7-F4D2-4A00-8FA6-A30160579A25}">
  <sheetPr codeName="Sheet1"/>
  <dimension ref="A1:W152"/>
  <sheetViews>
    <sheetView topLeftCell="B60" zoomScale="60" zoomScaleNormal="60" workbookViewId="0">
      <selection activeCell="K79" sqref="K79"/>
    </sheetView>
  </sheetViews>
  <sheetFormatPr defaultColWidth="8.88671875" defaultRowHeight="14.4" x14ac:dyDescent="0.3"/>
  <cols>
    <col min="1" max="1" width="22.6640625" style="97" hidden="1" customWidth="1"/>
    <col min="2" max="2" width="12.33203125" style="98" bestFit="1" customWidth="1"/>
    <col min="3" max="3" width="21.77734375" style="98" bestFit="1" customWidth="1"/>
    <col min="4" max="4" width="17.88671875" style="98" bestFit="1" customWidth="1"/>
    <col min="5" max="5" width="20.33203125" style="98" bestFit="1" customWidth="1"/>
    <col min="6" max="6" width="24.21875" style="97" bestFit="1" customWidth="1"/>
    <col min="7" max="7" width="33.109375" style="97" bestFit="1" customWidth="1"/>
    <col min="8" max="8" width="30.6640625" style="97" bestFit="1" customWidth="1"/>
    <col min="9" max="9" width="28.21875" style="97" bestFit="1" customWidth="1"/>
    <col min="10" max="10" width="20.44140625" style="97" bestFit="1" customWidth="1"/>
    <col min="11" max="11" width="19.21875" style="97" bestFit="1" customWidth="1"/>
    <col min="12" max="12" width="17.33203125" style="99" bestFit="1" customWidth="1"/>
    <col min="13" max="13" width="19.33203125" style="97" bestFit="1" customWidth="1"/>
    <col min="14" max="14" width="20.6640625" style="97" bestFit="1" customWidth="1"/>
    <col min="15" max="15" width="28.44140625" style="97" bestFit="1" customWidth="1"/>
    <col min="16" max="16" width="30.88671875" style="97" bestFit="1" customWidth="1"/>
    <col min="17" max="17" width="33.44140625" style="97" bestFit="1" customWidth="1"/>
    <col min="18" max="18" width="24.5546875" style="97" bestFit="1" customWidth="1"/>
    <col min="19" max="19" width="35.33203125" style="97" hidden="1" customWidth="1"/>
    <col min="20" max="20" width="21.44140625" style="98" bestFit="1" customWidth="1"/>
    <col min="21" max="21" width="19" style="98" bestFit="1" customWidth="1"/>
    <col min="22" max="22" width="22.5546875" style="98" bestFit="1" customWidth="1"/>
    <col min="23" max="23" width="14.88671875" style="98" bestFit="1" customWidth="1"/>
    <col min="24" max="24" width="27.33203125" style="97" bestFit="1" customWidth="1"/>
    <col min="25" max="25" width="35.44140625" style="97" bestFit="1" customWidth="1"/>
    <col min="26" max="26" width="33" style="97" bestFit="1" customWidth="1"/>
    <col min="27" max="27" width="30.33203125" style="97" bestFit="1" customWidth="1"/>
    <col min="28" max="28" width="23.44140625" style="97" bestFit="1" customWidth="1"/>
    <col min="29" max="29" width="22.5546875" style="97" bestFit="1" customWidth="1"/>
    <col min="30" max="30" width="30.44140625" style="97" bestFit="1" customWidth="1"/>
    <col min="31" max="31" width="22.88671875" style="97" bestFit="1" customWidth="1"/>
    <col min="32" max="32" width="23.33203125" style="97" bestFit="1" customWidth="1"/>
    <col min="33" max="33" width="25.109375" style="97" bestFit="1" customWidth="1"/>
    <col min="34" max="34" width="33.33203125" style="97" bestFit="1" customWidth="1"/>
    <col min="35" max="35" width="34.33203125" style="97" bestFit="1" customWidth="1"/>
    <col min="36" max="36" width="30.6640625" style="97" bestFit="1" customWidth="1"/>
    <col min="37" max="37" width="28.109375" style="97" bestFit="1" customWidth="1"/>
    <col min="38" max="38" width="21.33203125" style="97" bestFit="1" customWidth="1"/>
    <col min="39" max="39" width="20.33203125" style="97" bestFit="1" customWidth="1"/>
    <col min="40" max="40" width="21.6640625" style="97" bestFit="1" customWidth="1"/>
    <col min="41" max="41" width="28.88671875" style="97" bestFit="1" customWidth="1"/>
    <col min="42" max="42" width="28.5546875" style="97" bestFit="1" customWidth="1"/>
    <col min="43" max="43" width="28.33203125" style="97" bestFit="1" customWidth="1"/>
    <col min="44" max="44" width="30.6640625" style="97" bestFit="1" customWidth="1"/>
    <col min="45" max="45" width="28.109375" style="97" bestFit="1" customWidth="1"/>
    <col min="46" max="46" width="21.33203125" style="97" bestFit="1" customWidth="1"/>
    <col min="47" max="47" width="20.33203125" style="97" bestFit="1" customWidth="1"/>
    <col min="48" max="48" width="21.6640625" style="97" bestFit="1" customWidth="1"/>
    <col min="49" max="49" width="28.88671875" style="97" bestFit="1" customWidth="1"/>
    <col min="50" max="50" width="28.5546875" style="97" bestFit="1" customWidth="1"/>
    <col min="51" max="51" width="19.88671875" style="97" bestFit="1" customWidth="1"/>
    <col min="52" max="52" width="21" style="97" bestFit="1" customWidth="1"/>
    <col min="53" max="53" width="20" style="97" bestFit="1" customWidth="1"/>
    <col min="54" max="54" width="21.109375" style="97" bestFit="1" customWidth="1"/>
    <col min="55" max="55" width="28.33203125" style="97" bestFit="1" customWidth="1"/>
    <col min="56" max="16384" width="8.88671875" style="97"/>
  </cols>
  <sheetData>
    <row r="1" spans="1:23" ht="15" thickBot="1" x14ac:dyDescent="0.35"/>
    <row r="2" spans="1:23" ht="24" thickBot="1" x14ac:dyDescent="0.5">
      <c r="B2" s="98" t="s">
        <v>31</v>
      </c>
      <c r="D2" s="98">
        <v>50</v>
      </c>
      <c r="E2" s="100" t="s">
        <v>21</v>
      </c>
      <c r="F2" s="101">
        <f>S10</f>
        <v>18222.349999999999</v>
      </c>
      <c r="J2" s="102" t="s">
        <v>29</v>
      </c>
      <c r="K2" s="103" t="s">
        <v>28</v>
      </c>
      <c r="L2" s="104" t="s">
        <v>30</v>
      </c>
      <c r="O2" s="105"/>
      <c r="P2" s="105"/>
    </row>
    <row r="3" spans="1:23" ht="19.8" x14ac:dyDescent="0.4">
      <c r="E3" s="106" t="s">
        <v>17</v>
      </c>
      <c r="F3" s="107"/>
      <c r="J3" s="108">
        <f>G146</f>
        <v>23583300</v>
      </c>
      <c r="K3" s="108">
        <f>Q146</f>
        <v>26541675</v>
      </c>
      <c r="L3" s="104">
        <f>K3-J3</f>
        <v>2958375</v>
      </c>
      <c r="M3" s="109" t="str">
        <f>IF((K3&gt;J3)*AND(L3&gt;1000000),"Call BUY","PUT BUY")</f>
        <v>Call BUY</v>
      </c>
    </row>
    <row r="4" spans="1:23" ht="19.8" x14ac:dyDescent="0.4">
      <c r="E4" s="110" t="str">
        <f>A10</f>
        <v>10-Nov-2022</v>
      </c>
      <c r="F4" s="111"/>
      <c r="J4" s="108"/>
      <c r="K4" s="108"/>
      <c r="L4" s="104"/>
      <c r="M4" s="109"/>
    </row>
    <row r="5" spans="1:23" ht="20.399999999999999" thickBot="1" x14ac:dyDescent="0.45">
      <c r="E5" s="112" t="s">
        <v>32</v>
      </c>
      <c r="F5" s="113">
        <f>ROUND(F2/D2,0)* D2</f>
        <v>18200</v>
      </c>
      <c r="J5" s="114"/>
      <c r="K5" s="114"/>
      <c r="L5" s="115"/>
    </row>
    <row r="6" spans="1:23" x14ac:dyDescent="0.3">
      <c r="B6" s="116"/>
      <c r="C6" s="117"/>
      <c r="D6" s="117"/>
      <c r="E6" s="118"/>
      <c r="F6" s="118" t="s">
        <v>33</v>
      </c>
      <c r="G6" s="118"/>
      <c r="H6" s="118"/>
      <c r="I6" s="119"/>
    </row>
    <row r="7" spans="1:23" x14ac:dyDescent="0.3">
      <c r="B7" s="120"/>
      <c r="C7" s="121"/>
      <c r="D7" s="121"/>
      <c r="E7" s="122"/>
      <c r="F7" s="122"/>
      <c r="G7" s="122"/>
      <c r="H7" s="122"/>
      <c r="I7" s="123"/>
    </row>
    <row r="8" spans="1:23" ht="26.4" thickBot="1" x14ac:dyDescent="0.55000000000000004">
      <c r="A8" s="480" t="s">
        <v>16</v>
      </c>
      <c r="B8" s="481"/>
      <c r="C8" s="482"/>
      <c r="D8" s="482"/>
      <c r="E8" s="482"/>
      <c r="F8" s="482"/>
      <c r="G8" s="482"/>
      <c r="H8" s="482"/>
      <c r="I8" s="483"/>
      <c r="J8" s="484"/>
      <c r="K8" s="485"/>
      <c r="L8" s="124"/>
      <c r="M8" s="479" t="s">
        <v>15</v>
      </c>
      <c r="N8" s="479"/>
      <c r="O8" s="479"/>
      <c r="P8" s="479"/>
      <c r="Q8" s="479"/>
      <c r="R8" s="479"/>
      <c r="S8" s="479"/>
      <c r="T8" s="479"/>
      <c r="U8" s="479"/>
      <c r="V8" s="479"/>
      <c r="W8" s="479"/>
    </row>
    <row r="9" spans="1:23" s="129" customFormat="1" ht="19.8" x14ac:dyDescent="0.3">
      <c r="A9" s="125" t="s">
        <v>0</v>
      </c>
      <c r="B9" s="126" t="s">
        <v>19</v>
      </c>
      <c r="C9" s="126" t="s">
        <v>20</v>
      </c>
      <c r="D9" s="126" t="s">
        <v>18</v>
      </c>
      <c r="E9" s="126" t="s">
        <v>22</v>
      </c>
      <c r="F9" s="127" t="s">
        <v>2</v>
      </c>
      <c r="G9" s="128" t="s">
        <v>3</v>
      </c>
      <c r="H9" s="129" t="s">
        <v>4</v>
      </c>
      <c r="I9" s="129" t="s">
        <v>5</v>
      </c>
      <c r="J9" s="127" t="s">
        <v>6</v>
      </c>
      <c r="K9" s="127" t="s">
        <v>7</v>
      </c>
      <c r="L9" s="130" t="s">
        <v>8</v>
      </c>
      <c r="M9" s="127" t="s">
        <v>9</v>
      </c>
      <c r="N9" s="127" t="s">
        <v>10</v>
      </c>
      <c r="O9" s="129" t="s">
        <v>11</v>
      </c>
      <c r="P9" s="129" t="s">
        <v>12</v>
      </c>
      <c r="Q9" s="127" t="s">
        <v>13</v>
      </c>
      <c r="R9" s="127" t="s">
        <v>14</v>
      </c>
      <c r="S9" s="125" t="s">
        <v>1</v>
      </c>
      <c r="T9" s="126" t="s">
        <v>23</v>
      </c>
      <c r="U9" s="131" t="s">
        <v>24</v>
      </c>
      <c r="V9" s="131" t="s">
        <v>25</v>
      </c>
      <c r="W9" s="131" t="s">
        <v>26</v>
      </c>
    </row>
    <row r="10" spans="1:23" ht="19.8" x14ac:dyDescent="0.4">
      <c r="A10" s="132" t="s">
        <v>123</v>
      </c>
      <c r="B10" s="133" t="str">
        <f>IF(OR(Option_Chain_Data[[#This Row],[InterPretation]]="Long Build UP",Option_Chain_Data[[#This Row],[InterPretation]]="Short Covering"),"BULLISH",IF(OR(Option_Chain_Data[[#This Row],[InterPretation]]="LongLiquidation",Option_Chain_Data[[#This Row],[InterPretation]]="Short Build UP"),"BEARISH",""))</f>
        <v>BULLISH</v>
      </c>
      <c r="C10" s="133"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10" s="133" t="str">
        <f>IF(Option_Chain_Data[[#This Row],[Call.changeinOpenInterest]]&gt;0,"UP",IF(Option_Chain_Data[[#This Row],[Call.changeinOpenInterest]]&lt;0,"DOWN",""))</f>
        <v>UP</v>
      </c>
      <c r="E10" s="133" t="str">
        <f>IF(Option_Chain_Data[[#This Row],[CAll.change]]&gt;0,"UP",IF(Option_Chain_Data[[#This Row],[CAll.change]]&lt;0,"DOWN",""))</f>
        <v>UP</v>
      </c>
      <c r="F10" s="134">
        <v>2</v>
      </c>
      <c r="G10" s="134">
        <v>2</v>
      </c>
      <c r="H10" s="134">
        <v>4</v>
      </c>
      <c r="I10" s="134">
        <v>169.41</v>
      </c>
      <c r="J10" s="134">
        <v>3432.55</v>
      </c>
      <c r="K10" s="134">
        <v>278.60000000000036</v>
      </c>
      <c r="L10" s="135">
        <v>14800</v>
      </c>
      <c r="M10" s="134">
        <v>-0.15000000000000002</v>
      </c>
      <c r="N10" s="134">
        <v>0.35</v>
      </c>
      <c r="O10" s="134">
        <v>130.16</v>
      </c>
      <c r="P10" s="134">
        <v>382</v>
      </c>
      <c r="Q10" s="134">
        <v>169</v>
      </c>
      <c r="R10" s="134">
        <v>1225</v>
      </c>
      <c r="S10" s="136">
        <v>18222.349999999999</v>
      </c>
      <c r="T10" s="133" t="str">
        <f>IF(Option_Chain_Data[[#This Row],[PUT.change]]&gt;0,"UP",IF(Option_Chain_Data[[#This Row],[PUT.change]]&lt;0,"DOWN",""))</f>
        <v>DOWN</v>
      </c>
      <c r="U10" s="133" t="str">
        <f>IF(Option_Chain_Data[[#This Row],[PUT.changeinOpenInterest]]&gt;0,"UP",IF(Option_Chain_Data[[#This Row],[PUT.changeinOpenInterest]]&lt;0,"DOWN",""))</f>
        <v>UP</v>
      </c>
      <c r="V10" s="137"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10" s="133" t="str">
        <f>IF(OR(Option_Chain_Data[[#This Row],[InterPretation2]]="Long Build UP",Option_Chain_Data[[#This Row],[InterPretation2]]="Short Covering"),"BULLISH",IF(OR(Option_Chain_Data[[#This Row],[InterPretation2]]="Long Liquidation",Option_Chain_Data[[#This Row],[InterPretation2]]="Short Build UP"),"BEARISH",""))</f>
        <v>BEARISH</v>
      </c>
    </row>
    <row r="11" spans="1:23" ht="19.8" x14ac:dyDescent="0.4">
      <c r="A11" s="132" t="s">
        <v>123</v>
      </c>
      <c r="B11" s="138" t="str">
        <f>IF(OR(Option_Chain_Data[[#This Row],[InterPretation]]="Long Build UP",Option_Chain_Data[[#This Row],[InterPretation]]="Short Covering"),"BULLISH",IF(OR(Option_Chain_Data[[#This Row],[InterPretation]]="LongLiquidation",Option_Chain_Data[[#This Row],[InterPretation]]="Short Build UP"),"BEARISH",""))</f>
        <v/>
      </c>
      <c r="C1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1" s="138" t="str">
        <f>IF(Option_Chain_Data[[#This Row],[Call.changeinOpenInterest]]&gt;0,"UP",IF(Option_Chain_Data[[#This Row],[Call.changeinOpenInterest]]&lt;0,"DOWN",""))</f>
        <v/>
      </c>
      <c r="E11" s="138" t="str">
        <f>IF(Option_Chain_Data[[#This Row],[CAll.change]]&gt;0,"UP",IF(Option_Chain_Data[[#This Row],[CAll.change]]&lt;0,"DOWN",""))</f>
        <v/>
      </c>
      <c r="F11" s="139">
        <v>0</v>
      </c>
      <c r="G11" s="139">
        <v>0</v>
      </c>
      <c r="H11" s="139">
        <v>0</v>
      </c>
      <c r="I11" s="139">
        <v>0</v>
      </c>
      <c r="J11" s="139">
        <v>0</v>
      </c>
      <c r="K11" s="139">
        <v>0</v>
      </c>
      <c r="L11" s="140">
        <v>14850</v>
      </c>
      <c r="M11" s="139">
        <v>4.9999999999999989E-2</v>
      </c>
      <c r="N11" s="139">
        <v>0.45</v>
      </c>
      <c r="O11" s="139">
        <v>132.31</v>
      </c>
      <c r="P11" s="139">
        <v>164</v>
      </c>
      <c r="Q11" s="139">
        <v>76</v>
      </c>
      <c r="R11" s="139">
        <v>195</v>
      </c>
      <c r="S11" s="141">
        <v>18227.5</v>
      </c>
      <c r="T11" s="138" t="str">
        <f>IF(Option_Chain_Data[[#This Row],[PUT.change]]&gt;0,"UP",IF(Option_Chain_Data[[#This Row],[PUT.change]]&lt;0,"DOWN",""))</f>
        <v>UP</v>
      </c>
      <c r="U11" s="138" t="str">
        <f>IF(Option_Chain_Data[[#This Row],[PUT.changeinOpenInterest]]&gt;0,"UP",IF(Option_Chain_Data[[#This Row],[PUT.changeinOpenInterest]]&lt;0,"DOWN",""))</f>
        <v>UP</v>
      </c>
      <c r="V1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Build UP</v>
      </c>
      <c r="W11" s="138" t="str">
        <f>IF(OR(Option_Chain_Data[[#This Row],[InterPretation2]]="Long Build UP",Option_Chain_Data[[#This Row],[InterPretation2]]="Short Covering"),"BULLISH",IF(OR(Option_Chain_Data[[#This Row],[InterPretation2]]="Long Liquidation",Option_Chain_Data[[#This Row],[InterPretation2]]="Short Build UP"),"BEARISH",""))</f>
        <v>BULLISH</v>
      </c>
    </row>
    <row r="12" spans="1:23" ht="19.8" x14ac:dyDescent="0.4">
      <c r="A12" s="132" t="s">
        <v>123</v>
      </c>
      <c r="B12" s="138" t="str">
        <f>IF(OR(Option_Chain_Data[[#This Row],[InterPretation]]="Long Build UP",Option_Chain_Data[[#This Row],[InterPretation]]="Short Covering"),"BULLISH",IF(OR(Option_Chain_Data[[#This Row],[InterPretation]]="LongLiquidation",Option_Chain_Data[[#This Row],[InterPretation]]="Short Build UP"),"BEARISH",""))</f>
        <v/>
      </c>
      <c r="C1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2" s="138" t="str">
        <f>IF(Option_Chain_Data[[#This Row],[Call.changeinOpenInterest]]&gt;0,"UP",IF(Option_Chain_Data[[#This Row],[Call.changeinOpenInterest]]&lt;0,"DOWN",""))</f>
        <v/>
      </c>
      <c r="E12" s="138" t="str">
        <f>IF(Option_Chain_Data[[#This Row],[CAll.change]]&gt;0,"UP",IF(Option_Chain_Data[[#This Row],[CAll.change]]&lt;0,"DOWN",""))</f>
        <v/>
      </c>
      <c r="F12" s="139">
        <v>0</v>
      </c>
      <c r="G12" s="139">
        <v>0</v>
      </c>
      <c r="H12" s="139">
        <v>0</v>
      </c>
      <c r="I12" s="139">
        <v>0</v>
      </c>
      <c r="J12" s="139">
        <v>0</v>
      </c>
      <c r="K12" s="139">
        <v>0</v>
      </c>
      <c r="L12" s="140">
        <v>14900</v>
      </c>
      <c r="M12" s="139">
        <v>-0.10000000000000003</v>
      </c>
      <c r="N12" s="139">
        <v>0.45</v>
      </c>
      <c r="O12" s="139">
        <v>129</v>
      </c>
      <c r="P12" s="139">
        <v>2</v>
      </c>
      <c r="Q12" s="139">
        <v>1</v>
      </c>
      <c r="R12" s="139">
        <v>129</v>
      </c>
      <c r="S12" s="141">
        <v>18222.349999999999</v>
      </c>
      <c r="T12" s="138" t="str">
        <f>IF(Option_Chain_Data[[#This Row],[PUT.change]]&gt;0,"UP",IF(Option_Chain_Data[[#This Row],[PUT.change]]&lt;0,"DOWN",""))</f>
        <v>DOWN</v>
      </c>
      <c r="U12" s="138" t="str">
        <f>IF(Option_Chain_Data[[#This Row],[PUT.changeinOpenInterest]]&gt;0,"UP",IF(Option_Chain_Data[[#This Row],[PUT.changeinOpenInterest]]&lt;0,"DOWN",""))</f>
        <v>UP</v>
      </c>
      <c r="V1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12" s="138" t="str">
        <f>IF(OR(Option_Chain_Data[[#This Row],[InterPretation2]]="Long Build UP",Option_Chain_Data[[#This Row],[InterPretation2]]="Short Covering"),"BULLISH",IF(OR(Option_Chain_Data[[#This Row],[InterPretation2]]="Long Liquidation",Option_Chain_Data[[#This Row],[InterPretation2]]="Short Build UP"),"BEARISH",""))</f>
        <v>BEARISH</v>
      </c>
    </row>
    <row r="13" spans="1:23" ht="19.8" x14ac:dyDescent="0.4">
      <c r="A13" s="132" t="s">
        <v>123</v>
      </c>
      <c r="B13" s="138" t="str">
        <f>IF(OR(Option_Chain_Data[[#This Row],[InterPretation]]="Long Build UP",Option_Chain_Data[[#This Row],[InterPretation]]="Short Covering"),"BULLISH",IF(OR(Option_Chain_Data[[#This Row],[InterPretation]]="LongLiquidation",Option_Chain_Data[[#This Row],[InterPretation]]="Short Build UP"),"BEARISH",""))</f>
        <v/>
      </c>
      <c r="C1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3" s="138" t="str">
        <f>IF(Option_Chain_Data[[#This Row],[Call.changeinOpenInterest]]&gt;0,"UP",IF(Option_Chain_Data[[#This Row],[Call.changeinOpenInterest]]&lt;0,"DOWN",""))</f>
        <v/>
      </c>
      <c r="E13" s="138" t="str">
        <f>IF(Option_Chain_Data[[#This Row],[CAll.change]]&gt;0,"UP",IF(Option_Chain_Data[[#This Row],[CAll.change]]&lt;0,"DOWN",""))</f>
        <v/>
      </c>
      <c r="F13" s="139">
        <v>0</v>
      </c>
      <c r="G13" s="139">
        <v>0</v>
      </c>
      <c r="H13" s="139">
        <v>0</v>
      </c>
      <c r="I13" s="139">
        <v>0</v>
      </c>
      <c r="J13" s="139">
        <v>0</v>
      </c>
      <c r="K13" s="139">
        <v>0</v>
      </c>
      <c r="L13" s="140">
        <v>14950</v>
      </c>
      <c r="M13" s="139">
        <v>4.9999999999999989E-2</v>
      </c>
      <c r="N13" s="139">
        <v>0.5</v>
      </c>
      <c r="O13" s="139">
        <v>128.31</v>
      </c>
      <c r="P13" s="139">
        <v>18</v>
      </c>
      <c r="Q13" s="139">
        <v>0</v>
      </c>
      <c r="R13" s="139">
        <v>116</v>
      </c>
      <c r="S13" s="141">
        <v>18227.5</v>
      </c>
      <c r="T13" s="138" t="str">
        <f>IF(Option_Chain_Data[[#This Row],[PUT.change]]&gt;0,"UP",IF(Option_Chain_Data[[#This Row],[PUT.change]]&lt;0,"DOWN",""))</f>
        <v>UP</v>
      </c>
      <c r="U13" s="138" t="str">
        <f>IF(Option_Chain_Data[[#This Row],[PUT.changeinOpenInterest]]&gt;0,"UP",IF(Option_Chain_Data[[#This Row],[PUT.changeinOpenInterest]]&lt;0,"DOWN",""))</f>
        <v/>
      </c>
      <c r="V1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3" s="138" t="str">
        <f>IF(OR(Option_Chain_Data[[#This Row],[InterPretation2]]="Long Build UP",Option_Chain_Data[[#This Row],[InterPretation2]]="Short Covering"),"BULLISH",IF(OR(Option_Chain_Data[[#This Row],[InterPretation2]]="Long Liquidation",Option_Chain_Data[[#This Row],[InterPretation2]]="Short Build UP"),"BEARISH",""))</f>
        <v/>
      </c>
    </row>
    <row r="14" spans="1:23" ht="19.8" x14ac:dyDescent="0.4">
      <c r="A14" s="143" t="s">
        <v>123</v>
      </c>
      <c r="B14" s="138" t="str">
        <f>IF(OR(Option_Chain_Data[[#This Row],[InterPretation]]="Long Build UP",Option_Chain_Data[[#This Row],[InterPretation]]="Short Covering"),"BULLISH",IF(OR(Option_Chain_Data[[#This Row],[InterPretation]]="LongLiquidation",Option_Chain_Data[[#This Row],[InterPretation]]="Short Build UP"),"BEARISH",""))</f>
        <v/>
      </c>
      <c r="C1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4" s="138" t="str">
        <f>IF(Option_Chain_Data[[#This Row],[Call.changeinOpenInterest]]&gt;0,"UP",IF(Option_Chain_Data[[#This Row],[Call.changeinOpenInterest]]&lt;0,"DOWN",""))</f>
        <v/>
      </c>
      <c r="E14" s="138" t="str">
        <f>IF(Option_Chain_Data[[#This Row],[CAll.change]]&gt;0,"UP",IF(Option_Chain_Data[[#This Row],[CAll.change]]&lt;0,"DOWN",""))</f>
        <v/>
      </c>
      <c r="F14" s="139">
        <v>0</v>
      </c>
      <c r="G14" s="139">
        <v>0</v>
      </c>
      <c r="H14" s="139">
        <v>0</v>
      </c>
      <c r="I14" s="139">
        <v>0</v>
      </c>
      <c r="J14" s="139">
        <v>0</v>
      </c>
      <c r="K14" s="139">
        <v>0</v>
      </c>
      <c r="L14" s="140">
        <v>15000</v>
      </c>
      <c r="M14" s="139">
        <v>-0.10000000000000003</v>
      </c>
      <c r="N14" s="139">
        <v>0.45</v>
      </c>
      <c r="O14" s="139">
        <v>125.05</v>
      </c>
      <c r="P14" s="139">
        <v>249</v>
      </c>
      <c r="Q14" s="139">
        <v>-129</v>
      </c>
      <c r="R14" s="139">
        <v>6132</v>
      </c>
      <c r="S14" s="139">
        <v>18222.349999999999</v>
      </c>
      <c r="T14" s="138" t="str">
        <f>IF(Option_Chain_Data[[#This Row],[PUT.change]]&gt;0,"UP",IF(Option_Chain_Data[[#This Row],[PUT.change]]&lt;0,"DOWN",""))</f>
        <v>DOWN</v>
      </c>
      <c r="U14" s="138" t="str">
        <f>IF(Option_Chain_Data[[#This Row],[PUT.changeinOpenInterest]]&gt;0,"UP",IF(Option_Chain_Data[[#This Row],[PUT.changeinOpenInterest]]&lt;0,"DOWN",""))</f>
        <v>DOWN</v>
      </c>
      <c r="V1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14" s="138" t="str">
        <f>IF(OR(Option_Chain_Data[[#This Row],[InterPretation2]]="Long Build UP",Option_Chain_Data[[#This Row],[InterPretation2]]="Short Covering"),"BULLISH",IF(OR(Option_Chain_Data[[#This Row],[InterPretation2]]="Long Liquidation",Option_Chain_Data[[#This Row],[InterPretation2]]="Short Build UP"),"BEARISH",""))</f>
        <v>BEARISH</v>
      </c>
    </row>
    <row r="15" spans="1:23" ht="19.8" x14ac:dyDescent="0.4">
      <c r="A15" s="143" t="s">
        <v>123</v>
      </c>
      <c r="B15" s="138" t="str">
        <f>IF(OR(Option_Chain_Data[[#This Row],[InterPretation]]="Long Build UP",Option_Chain_Data[[#This Row],[InterPretation]]="Short Covering"),"BULLISH",IF(OR(Option_Chain_Data[[#This Row],[InterPretation]]="LongLiquidation",Option_Chain_Data[[#This Row],[InterPretation]]="Short Build UP"),"BEARISH",""))</f>
        <v/>
      </c>
      <c r="C1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5" s="138" t="str">
        <f>IF(Option_Chain_Data[[#This Row],[Call.changeinOpenInterest]]&gt;0,"UP",IF(Option_Chain_Data[[#This Row],[Call.changeinOpenInterest]]&lt;0,"DOWN",""))</f>
        <v/>
      </c>
      <c r="E15" s="138" t="str">
        <f>IF(Option_Chain_Data[[#This Row],[CAll.change]]&gt;0,"UP",IF(Option_Chain_Data[[#This Row],[CAll.change]]&lt;0,"DOWN",""))</f>
        <v/>
      </c>
      <c r="F15" s="139">
        <v>0</v>
      </c>
      <c r="G15" s="139">
        <v>0</v>
      </c>
      <c r="H15" s="139">
        <v>0</v>
      </c>
      <c r="I15" s="139">
        <v>0</v>
      </c>
      <c r="J15" s="139">
        <v>0</v>
      </c>
      <c r="K15" s="139">
        <v>0</v>
      </c>
      <c r="L15" s="140">
        <v>15050</v>
      </c>
      <c r="M15" s="139">
        <v>0</v>
      </c>
      <c r="N15" s="139">
        <v>0</v>
      </c>
      <c r="O15" s="139">
        <v>0</v>
      </c>
      <c r="P15" s="139">
        <v>0</v>
      </c>
      <c r="Q15" s="139">
        <v>0</v>
      </c>
      <c r="R15" s="139">
        <v>103</v>
      </c>
      <c r="S15" s="139">
        <v>18227.5</v>
      </c>
      <c r="T15" s="138" t="str">
        <f>IF(Option_Chain_Data[[#This Row],[PUT.change]]&gt;0,"UP",IF(Option_Chain_Data[[#This Row],[PUT.change]]&lt;0,"DOWN",""))</f>
        <v/>
      </c>
      <c r="U15" s="138" t="str">
        <f>IF(Option_Chain_Data[[#This Row],[PUT.changeinOpenInterest]]&gt;0,"UP",IF(Option_Chain_Data[[#This Row],[PUT.changeinOpenInterest]]&lt;0,"DOWN",""))</f>
        <v/>
      </c>
      <c r="V1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5" s="138" t="str">
        <f>IF(OR(Option_Chain_Data[[#This Row],[InterPretation2]]="Long Build UP",Option_Chain_Data[[#This Row],[InterPretation2]]="Short Covering"),"BULLISH",IF(OR(Option_Chain_Data[[#This Row],[InterPretation2]]="Long Liquidation",Option_Chain_Data[[#This Row],[InterPretation2]]="Short Build UP"),"BEARISH",""))</f>
        <v/>
      </c>
    </row>
    <row r="16" spans="1:23" ht="19.8" x14ac:dyDescent="0.4">
      <c r="A16" s="143" t="s">
        <v>123</v>
      </c>
      <c r="B16" s="138" t="str">
        <f>IF(OR(Option_Chain_Data[[#This Row],[InterPretation]]="Long Build UP",Option_Chain_Data[[#This Row],[InterPretation]]="Short Covering"),"BULLISH",IF(OR(Option_Chain_Data[[#This Row],[InterPretation]]="LongLiquidation",Option_Chain_Data[[#This Row],[InterPretation]]="Short Build UP"),"BEARISH",""))</f>
        <v/>
      </c>
      <c r="C1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6" s="138" t="str">
        <f>IF(Option_Chain_Data[[#This Row],[Call.changeinOpenInterest]]&gt;0,"UP",IF(Option_Chain_Data[[#This Row],[Call.changeinOpenInterest]]&lt;0,"DOWN",""))</f>
        <v/>
      </c>
      <c r="E16" s="138" t="str">
        <f>IF(Option_Chain_Data[[#This Row],[CAll.change]]&gt;0,"UP",IF(Option_Chain_Data[[#This Row],[CAll.change]]&lt;0,"DOWN",""))</f>
        <v/>
      </c>
      <c r="F16" s="139">
        <v>2</v>
      </c>
      <c r="G16" s="139">
        <v>0</v>
      </c>
      <c r="H16" s="139">
        <v>0</v>
      </c>
      <c r="I16" s="139">
        <v>0</v>
      </c>
      <c r="J16" s="139">
        <v>0</v>
      </c>
      <c r="K16" s="139">
        <v>0</v>
      </c>
      <c r="L16" s="140">
        <v>15100</v>
      </c>
      <c r="M16" s="139">
        <v>-0.15000000000000002</v>
      </c>
      <c r="N16" s="139">
        <v>0.4</v>
      </c>
      <c r="O16" s="139">
        <v>119.99</v>
      </c>
      <c r="P16" s="139">
        <v>7</v>
      </c>
      <c r="Q16" s="139">
        <v>1</v>
      </c>
      <c r="R16" s="139">
        <v>102</v>
      </c>
      <c r="S16" s="139">
        <v>18227.5</v>
      </c>
      <c r="T16" s="138" t="str">
        <f>IF(Option_Chain_Data[[#This Row],[PUT.change]]&gt;0,"UP",IF(Option_Chain_Data[[#This Row],[PUT.change]]&lt;0,"DOWN",""))</f>
        <v>DOWN</v>
      </c>
      <c r="U16" s="138" t="str">
        <f>IF(Option_Chain_Data[[#This Row],[PUT.changeinOpenInterest]]&gt;0,"UP",IF(Option_Chain_Data[[#This Row],[PUT.changeinOpenInterest]]&lt;0,"DOWN",""))</f>
        <v>UP</v>
      </c>
      <c r="V1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16" s="138" t="str">
        <f>IF(OR(Option_Chain_Data[[#This Row],[InterPretation2]]="Long Build UP",Option_Chain_Data[[#This Row],[InterPretation2]]="Short Covering"),"BULLISH",IF(OR(Option_Chain_Data[[#This Row],[InterPretation2]]="Long Liquidation",Option_Chain_Data[[#This Row],[InterPretation2]]="Short Build UP"),"BEARISH",""))</f>
        <v>BEARISH</v>
      </c>
    </row>
    <row r="17" spans="1:23" ht="19.8" x14ac:dyDescent="0.4">
      <c r="A17" s="143" t="s">
        <v>123</v>
      </c>
      <c r="B17" s="138" t="str">
        <f>IF(OR(Option_Chain_Data[[#This Row],[InterPretation]]="Long Build UP",Option_Chain_Data[[#This Row],[InterPretation]]="Short Covering"),"BULLISH",IF(OR(Option_Chain_Data[[#This Row],[InterPretation]]="LongLiquidation",Option_Chain_Data[[#This Row],[InterPretation]]="Short Build UP"),"BEARISH",""))</f>
        <v/>
      </c>
      <c r="C1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7" s="138" t="str">
        <f>IF(Option_Chain_Data[[#This Row],[Call.changeinOpenInterest]]&gt;0,"UP",IF(Option_Chain_Data[[#This Row],[Call.changeinOpenInterest]]&lt;0,"DOWN",""))</f>
        <v/>
      </c>
      <c r="E17" s="138" t="str">
        <f>IF(Option_Chain_Data[[#This Row],[CAll.change]]&gt;0,"UP",IF(Option_Chain_Data[[#This Row],[CAll.change]]&lt;0,"DOWN",""))</f>
        <v/>
      </c>
      <c r="F17" s="139">
        <v>0</v>
      </c>
      <c r="G17" s="139">
        <v>0</v>
      </c>
      <c r="H17" s="139">
        <v>0</v>
      </c>
      <c r="I17" s="139">
        <v>0</v>
      </c>
      <c r="J17" s="139">
        <v>0</v>
      </c>
      <c r="K17" s="139">
        <v>0</v>
      </c>
      <c r="L17" s="140">
        <v>15150</v>
      </c>
      <c r="M17" s="139">
        <v>0</v>
      </c>
      <c r="N17" s="139">
        <v>0</v>
      </c>
      <c r="O17" s="139">
        <v>0</v>
      </c>
      <c r="P17" s="139">
        <v>0</v>
      </c>
      <c r="Q17" s="139">
        <v>0</v>
      </c>
      <c r="R17" s="139">
        <v>83</v>
      </c>
      <c r="S17" s="139">
        <v>18227.5</v>
      </c>
      <c r="T17" s="138" t="str">
        <f>IF(Option_Chain_Data[[#This Row],[PUT.change]]&gt;0,"UP",IF(Option_Chain_Data[[#This Row],[PUT.change]]&lt;0,"DOWN",""))</f>
        <v/>
      </c>
      <c r="U17" s="138" t="str">
        <f>IF(Option_Chain_Data[[#This Row],[PUT.changeinOpenInterest]]&gt;0,"UP",IF(Option_Chain_Data[[#This Row],[PUT.changeinOpenInterest]]&lt;0,"DOWN",""))</f>
        <v/>
      </c>
      <c r="V1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7" s="138" t="str">
        <f>IF(OR(Option_Chain_Data[[#This Row],[InterPretation2]]="Long Build UP",Option_Chain_Data[[#This Row],[InterPretation2]]="Short Covering"),"BULLISH",IF(OR(Option_Chain_Data[[#This Row],[InterPretation2]]="Long Liquidation",Option_Chain_Data[[#This Row],[InterPretation2]]="Short Build UP"),"BEARISH",""))</f>
        <v/>
      </c>
    </row>
    <row r="18" spans="1:23" ht="19.8" x14ac:dyDescent="0.4">
      <c r="A18" s="143" t="s">
        <v>123</v>
      </c>
      <c r="B18" s="138" t="str">
        <f>IF(OR(Option_Chain_Data[[#This Row],[InterPretation]]="Long Build UP",Option_Chain_Data[[#This Row],[InterPretation]]="Short Covering"),"BULLISH",IF(OR(Option_Chain_Data[[#This Row],[InterPretation]]="LongLiquidation",Option_Chain_Data[[#This Row],[InterPretation]]="Short Build UP"),"BEARISH",""))</f>
        <v/>
      </c>
      <c r="C1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8" s="138" t="str">
        <f>IF(Option_Chain_Data[[#This Row],[Call.changeinOpenInterest]]&gt;0,"UP",IF(Option_Chain_Data[[#This Row],[Call.changeinOpenInterest]]&lt;0,"DOWN",""))</f>
        <v/>
      </c>
      <c r="E18" s="138" t="str">
        <f>IF(Option_Chain_Data[[#This Row],[CAll.change]]&gt;0,"UP",IF(Option_Chain_Data[[#This Row],[CAll.change]]&lt;0,"DOWN",""))</f>
        <v/>
      </c>
      <c r="F18" s="139">
        <v>0</v>
      </c>
      <c r="G18" s="139">
        <v>0</v>
      </c>
      <c r="H18" s="139">
        <v>0</v>
      </c>
      <c r="I18" s="139">
        <v>0</v>
      </c>
      <c r="J18" s="139">
        <v>0</v>
      </c>
      <c r="K18" s="139">
        <v>0</v>
      </c>
      <c r="L18" s="140">
        <v>15200</v>
      </c>
      <c r="M18" s="139">
        <v>-0.15000000000000002</v>
      </c>
      <c r="N18" s="139">
        <v>0.35</v>
      </c>
      <c r="O18" s="139">
        <v>114.78</v>
      </c>
      <c r="P18" s="139">
        <v>5</v>
      </c>
      <c r="Q18" s="139">
        <v>0</v>
      </c>
      <c r="R18" s="139">
        <v>82</v>
      </c>
      <c r="S18" s="139">
        <v>18227.5</v>
      </c>
      <c r="T18" s="138" t="str">
        <f>IF(Option_Chain_Data[[#This Row],[PUT.change]]&gt;0,"UP",IF(Option_Chain_Data[[#This Row],[PUT.change]]&lt;0,"DOWN",""))</f>
        <v>DOWN</v>
      </c>
      <c r="U18" s="138" t="str">
        <f>IF(Option_Chain_Data[[#This Row],[PUT.changeinOpenInterest]]&gt;0,"UP",IF(Option_Chain_Data[[#This Row],[PUT.changeinOpenInterest]]&lt;0,"DOWN",""))</f>
        <v/>
      </c>
      <c r="V1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8" s="138" t="str">
        <f>IF(OR(Option_Chain_Data[[#This Row],[InterPretation2]]="Long Build UP",Option_Chain_Data[[#This Row],[InterPretation2]]="Short Covering"),"BULLISH",IF(OR(Option_Chain_Data[[#This Row],[InterPretation2]]="Long Liquidation",Option_Chain_Data[[#This Row],[InterPretation2]]="Short Build UP"),"BEARISH",""))</f>
        <v/>
      </c>
    </row>
    <row r="19" spans="1:23" ht="19.8" x14ac:dyDescent="0.4">
      <c r="A19" s="143" t="s">
        <v>123</v>
      </c>
      <c r="B19" s="138" t="str">
        <f>IF(OR(Option_Chain_Data[[#This Row],[InterPretation]]="Long Build UP",Option_Chain_Data[[#This Row],[InterPretation]]="Short Covering"),"BULLISH",IF(OR(Option_Chain_Data[[#This Row],[InterPretation]]="LongLiquidation",Option_Chain_Data[[#This Row],[InterPretation]]="Short Build UP"),"BEARISH",""))</f>
        <v/>
      </c>
      <c r="C1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9" s="138" t="str">
        <f>IF(Option_Chain_Data[[#This Row],[Call.changeinOpenInterest]]&gt;0,"UP",IF(Option_Chain_Data[[#This Row],[Call.changeinOpenInterest]]&lt;0,"DOWN",""))</f>
        <v/>
      </c>
      <c r="E19" s="138" t="str">
        <f>IF(Option_Chain_Data[[#This Row],[CAll.change]]&gt;0,"UP",IF(Option_Chain_Data[[#This Row],[CAll.change]]&lt;0,"DOWN",""))</f>
        <v/>
      </c>
      <c r="F19" s="139">
        <v>0</v>
      </c>
      <c r="G19" s="139">
        <v>0</v>
      </c>
      <c r="H19" s="139">
        <v>0</v>
      </c>
      <c r="I19" s="139">
        <v>0</v>
      </c>
      <c r="J19" s="139">
        <v>0</v>
      </c>
      <c r="K19" s="139">
        <v>0</v>
      </c>
      <c r="L19" s="140">
        <v>15250</v>
      </c>
      <c r="M19" s="139">
        <v>4.9999999999999989E-2</v>
      </c>
      <c r="N19" s="139">
        <v>0.45</v>
      </c>
      <c r="O19" s="139">
        <v>115.36</v>
      </c>
      <c r="P19" s="139">
        <v>6</v>
      </c>
      <c r="Q19" s="139">
        <v>0</v>
      </c>
      <c r="R19" s="139">
        <v>89</v>
      </c>
      <c r="S19" s="139">
        <v>18227.5</v>
      </c>
      <c r="T19" s="138" t="str">
        <f>IF(Option_Chain_Data[[#This Row],[PUT.change]]&gt;0,"UP",IF(Option_Chain_Data[[#This Row],[PUT.change]]&lt;0,"DOWN",""))</f>
        <v>UP</v>
      </c>
      <c r="U19" s="138" t="str">
        <f>IF(Option_Chain_Data[[#This Row],[PUT.changeinOpenInterest]]&gt;0,"UP",IF(Option_Chain_Data[[#This Row],[PUT.changeinOpenInterest]]&lt;0,"DOWN",""))</f>
        <v/>
      </c>
      <c r="V1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9" s="138" t="str">
        <f>IF(OR(Option_Chain_Data[[#This Row],[InterPretation2]]="Long Build UP",Option_Chain_Data[[#This Row],[InterPretation2]]="Short Covering"),"BULLISH",IF(OR(Option_Chain_Data[[#This Row],[InterPretation2]]="Long Liquidation",Option_Chain_Data[[#This Row],[InterPretation2]]="Short Build UP"),"BEARISH",""))</f>
        <v/>
      </c>
    </row>
    <row r="20" spans="1:23" ht="19.8" x14ac:dyDescent="0.4">
      <c r="A20" s="143" t="s">
        <v>123</v>
      </c>
      <c r="B20" s="138" t="str">
        <f>IF(OR(Option_Chain_Data[[#This Row],[InterPretation]]="Long Build UP",Option_Chain_Data[[#This Row],[InterPretation]]="Short Covering"),"BULLISH",IF(OR(Option_Chain_Data[[#This Row],[InterPretation]]="LongLiquidation",Option_Chain_Data[[#This Row],[InterPretation]]="Short Build UP"),"BEARISH",""))</f>
        <v/>
      </c>
      <c r="C2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0" s="138" t="str">
        <f>IF(Option_Chain_Data[[#This Row],[Call.changeinOpenInterest]]&gt;0,"UP",IF(Option_Chain_Data[[#This Row],[Call.changeinOpenInterest]]&lt;0,"DOWN",""))</f>
        <v/>
      </c>
      <c r="E20" s="138" t="str">
        <f>IF(Option_Chain_Data[[#This Row],[CAll.change]]&gt;0,"UP",IF(Option_Chain_Data[[#This Row],[CAll.change]]&lt;0,"DOWN",""))</f>
        <v/>
      </c>
      <c r="F20" s="139">
        <v>0</v>
      </c>
      <c r="G20" s="139">
        <v>0</v>
      </c>
      <c r="H20" s="139">
        <v>0</v>
      </c>
      <c r="I20" s="139">
        <v>0</v>
      </c>
      <c r="J20" s="139">
        <v>0</v>
      </c>
      <c r="K20" s="139">
        <v>0</v>
      </c>
      <c r="L20" s="140">
        <v>15300</v>
      </c>
      <c r="M20" s="139">
        <v>-0.15000000000000002</v>
      </c>
      <c r="N20" s="139">
        <v>0.4</v>
      </c>
      <c r="O20" s="139">
        <v>112.24</v>
      </c>
      <c r="P20" s="139">
        <v>12</v>
      </c>
      <c r="Q20" s="139">
        <v>4</v>
      </c>
      <c r="R20" s="139">
        <v>67</v>
      </c>
      <c r="S20" s="139">
        <v>18227.5</v>
      </c>
      <c r="T20" s="138" t="str">
        <f>IF(Option_Chain_Data[[#This Row],[PUT.change]]&gt;0,"UP",IF(Option_Chain_Data[[#This Row],[PUT.change]]&lt;0,"DOWN",""))</f>
        <v>DOWN</v>
      </c>
      <c r="U20" s="138" t="str">
        <f>IF(Option_Chain_Data[[#This Row],[PUT.changeinOpenInterest]]&gt;0,"UP",IF(Option_Chain_Data[[#This Row],[PUT.changeinOpenInterest]]&lt;0,"DOWN",""))</f>
        <v>UP</v>
      </c>
      <c r="V2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20" s="138" t="str">
        <f>IF(OR(Option_Chain_Data[[#This Row],[InterPretation2]]="Long Build UP",Option_Chain_Data[[#This Row],[InterPretation2]]="Short Covering"),"BULLISH",IF(OR(Option_Chain_Data[[#This Row],[InterPretation2]]="Long Liquidation",Option_Chain_Data[[#This Row],[InterPretation2]]="Short Build UP"),"BEARISH",""))</f>
        <v>BEARISH</v>
      </c>
    </row>
    <row r="21" spans="1:23" ht="19.8" x14ac:dyDescent="0.4">
      <c r="A21" s="143" t="s">
        <v>123</v>
      </c>
      <c r="B21" s="138" t="str">
        <f>IF(OR(Option_Chain_Data[[#This Row],[InterPretation]]="Long Build UP",Option_Chain_Data[[#This Row],[InterPretation]]="Short Covering"),"BULLISH",IF(OR(Option_Chain_Data[[#This Row],[InterPretation]]="LongLiquidation",Option_Chain_Data[[#This Row],[InterPretation]]="Short Build UP"),"BEARISH",""))</f>
        <v/>
      </c>
      <c r="C2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1" s="138" t="str">
        <f>IF(Option_Chain_Data[[#This Row],[Call.changeinOpenInterest]]&gt;0,"UP",IF(Option_Chain_Data[[#This Row],[Call.changeinOpenInterest]]&lt;0,"DOWN",""))</f>
        <v/>
      </c>
      <c r="E21" s="138" t="str">
        <f>IF(Option_Chain_Data[[#This Row],[CAll.change]]&gt;0,"UP",IF(Option_Chain_Data[[#This Row],[CAll.change]]&lt;0,"DOWN",""))</f>
        <v/>
      </c>
      <c r="F21" s="139">
        <v>0</v>
      </c>
      <c r="G21" s="139">
        <v>0</v>
      </c>
      <c r="H21" s="139">
        <v>0</v>
      </c>
      <c r="I21" s="139">
        <v>0</v>
      </c>
      <c r="J21" s="139">
        <v>0</v>
      </c>
      <c r="K21" s="139">
        <v>0</v>
      </c>
      <c r="L21" s="140">
        <v>15350</v>
      </c>
      <c r="M21" s="139">
        <v>0</v>
      </c>
      <c r="N21" s="139">
        <v>0.4</v>
      </c>
      <c r="O21" s="139">
        <v>110.32</v>
      </c>
      <c r="P21" s="139">
        <v>1</v>
      </c>
      <c r="Q21" s="139">
        <v>0</v>
      </c>
      <c r="R21" s="139">
        <v>91</v>
      </c>
      <c r="S21" s="139">
        <v>18227.5</v>
      </c>
      <c r="T21" s="138" t="str">
        <f>IF(Option_Chain_Data[[#This Row],[PUT.change]]&gt;0,"UP",IF(Option_Chain_Data[[#This Row],[PUT.change]]&lt;0,"DOWN",""))</f>
        <v/>
      </c>
      <c r="U21" s="138" t="str">
        <f>IF(Option_Chain_Data[[#This Row],[PUT.changeinOpenInterest]]&gt;0,"UP",IF(Option_Chain_Data[[#This Row],[PUT.changeinOpenInterest]]&lt;0,"DOWN",""))</f>
        <v/>
      </c>
      <c r="V2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21" s="138" t="str">
        <f>IF(OR(Option_Chain_Data[[#This Row],[InterPretation2]]="Long Build UP",Option_Chain_Data[[#This Row],[InterPretation2]]="Short Covering"),"BULLISH",IF(OR(Option_Chain_Data[[#This Row],[InterPretation2]]="Long Liquidation",Option_Chain_Data[[#This Row],[InterPretation2]]="Short Build UP"),"BEARISH",""))</f>
        <v/>
      </c>
    </row>
    <row r="22" spans="1:23" ht="19.8" x14ac:dyDescent="0.4">
      <c r="A22" s="143" t="s">
        <v>123</v>
      </c>
      <c r="B22" s="138" t="str">
        <f>IF(OR(Option_Chain_Data[[#This Row],[InterPretation]]="Long Build UP",Option_Chain_Data[[#This Row],[InterPretation]]="Short Covering"),"BULLISH",IF(OR(Option_Chain_Data[[#This Row],[InterPretation]]="LongLiquidation",Option_Chain_Data[[#This Row],[InterPretation]]="Short Build UP"),"BEARISH",""))</f>
        <v/>
      </c>
      <c r="C2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2" s="138" t="str">
        <f>IF(Option_Chain_Data[[#This Row],[Call.changeinOpenInterest]]&gt;0,"UP",IF(Option_Chain_Data[[#This Row],[Call.changeinOpenInterest]]&lt;0,"DOWN",""))</f>
        <v/>
      </c>
      <c r="E22" s="138" t="str">
        <f>IF(Option_Chain_Data[[#This Row],[CAll.change]]&gt;0,"UP",IF(Option_Chain_Data[[#This Row],[CAll.change]]&lt;0,"DOWN",""))</f>
        <v/>
      </c>
      <c r="F22" s="139">
        <v>0</v>
      </c>
      <c r="G22" s="139">
        <v>0</v>
      </c>
      <c r="H22" s="139">
        <v>0</v>
      </c>
      <c r="I22" s="139">
        <v>0</v>
      </c>
      <c r="J22" s="139">
        <v>0</v>
      </c>
      <c r="K22" s="139">
        <v>0</v>
      </c>
      <c r="L22" s="140">
        <v>15400</v>
      </c>
      <c r="M22" s="139">
        <v>0</v>
      </c>
      <c r="N22" s="139">
        <v>0.55000000000000004</v>
      </c>
      <c r="O22" s="139">
        <v>111.53</v>
      </c>
      <c r="P22" s="139">
        <v>1</v>
      </c>
      <c r="Q22" s="139">
        <v>0</v>
      </c>
      <c r="R22" s="139">
        <v>108</v>
      </c>
      <c r="S22" s="139">
        <v>18227.5</v>
      </c>
      <c r="T22" s="138" t="str">
        <f>IF(Option_Chain_Data[[#This Row],[PUT.change]]&gt;0,"UP",IF(Option_Chain_Data[[#This Row],[PUT.change]]&lt;0,"DOWN",""))</f>
        <v/>
      </c>
      <c r="U22" s="138" t="str">
        <f>IF(Option_Chain_Data[[#This Row],[PUT.changeinOpenInterest]]&gt;0,"UP",IF(Option_Chain_Data[[#This Row],[PUT.changeinOpenInterest]]&lt;0,"DOWN",""))</f>
        <v/>
      </c>
      <c r="V2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22" s="138" t="str">
        <f>IF(OR(Option_Chain_Data[[#This Row],[InterPretation2]]="Long Build UP",Option_Chain_Data[[#This Row],[InterPretation2]]="Short Covering"),"BULLISH",IF(OR(Option_Chain_Data[[#This Row],[InterPretation2]]="Long Liquidation",Option_Chain_Data[[#This Row],[InterPretation2]]="Short Build UP"),"BEARISH",""))</f>
        <v/>
      </c>
    </row>
    <row r="23" spans="1:23" ht="19.8" x14ac:dyDescent="0.4">
      <c r="A23" s="143" t="s">
        <v>123</v>
      </c>
      <c r="B23" s="138" t="str">
        <f>IF(OR(Option_Chain_Data[[#This Row],[InterPretation]]="Long Build UP",Option_Chain_Data[[#This Row],[InterPretation]]="Short Covering"),"BULLISH",IF(OR(Option_Chain_Data[[#This Row],[InterPretation]]="LongLiquidation",Option_Chain_Data[[#This Row],[InterPretation]]="Short Build UP"),"BEARISH",""))</f>
        <v/>
      </c>
      <c r="C2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3" s="138" t="str">
        <f>IF(Option_Chain_Data[[#This Row],[Call.changeinOpenInterest]]&gt;0,"UP",IF(Option_Chain_Data[[#This Row],[Call.changeinOpenInterest]]&lt;0,"DOWN",""))</f>
        <v/>
      </c>
      <c r="E23" s="138" t="str">
        <f>IF(Option_Chain_Data[[#This Row],[CAll.change]]&gt;0,"UP",IF(Option_Chain_Data[[#This Row],[CAll.change]]&lt;0,"DOWN",""))</f>
        <v/>
      </c>
      <c r="F23" s="139">
        <v>0</v>
      </c>
      <c r="G23" s="139">
        <v>0</v>
      </c>
      <c r="H23" s="139">
        <v>0</v>
      </c>
      <c r="I23" s="139">
        <v>0</v>
      </c>
      <c r="J23" s="139">
        <v>0</v>
      </c>
      <c r="K23" s="139">
        <v>0</v>
      </c>
      <c r="L23" s="140">
        <v>15450</v>
      </c>
      <c r="M23" s="139">
        <v>0</v>
      </c>
      <c r="N23" s="139">
        <v>0</v>
      </c>
      <c r="O23" s="139">
        <v>0</v>
      </c>
      <c r="P23" s="139">
        <v>0</v>
      </c>
      <c r="Q23" s="139">
        <v>0</v>
      </c>
      <c r="R23" s="139">
        <v>93</v>
      </c>
      <c r="S23" s="139">
        <v>18222.349999999999</v>
      </c>
      <c r="T23" s="138" t="str">
        <f>IF(Option_Chain_Data[[#This Row],[PUT.change]]&gt;0,"UP",IF(Option_Chain_Data[[#This Row],[PUT.change]]&lt;0,"DOWN",""))</f>
        <v/>
      </c>
      <c r="U23" s="138" t="str">
        <f>IF(Option_Chain_Data[[#This Row],[PUT.changeinOpenInterest]]&gt;0,"UP",IF(Option_Chain_Data[[#This Row],[PUT.changeinOpenInterest]]&lt;0,"DOWN",""))</f>
        <v/>
      </c>
      <c r="V2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23" s="138" t="str">
        <f>IF(OR(Option_Chain_Data[[#This Row],[InterPretation2]]="Long Build UP",Option_Chain_Data[[#This Row],[InterPretation2]]="Short Covering"),"BULLISH",IF(OR(Option_Chain_Data[[#This Row],[InterPretation2]]="Long Liquidation",Option_Chain_Data[[#This Row],[InterPretation2]]="Short Build UP"),"BEARISH",""))</f>
        <v/>
      </c>
    </row>
    <row r="24" spans="1:23" ht="19.8" x14ac:dyDescent="0.4">
      <c r="A24" s="143" t="s">
        <v>123</v>
      </c>
      <c r="B24" s="138" t="str">
        <f>IF(OR(Option_Chain_Data[[#This Row],[InterPretation]]="Long Build UP",Option_Chain_Data[[#This Row],[InterPretation]]="Short Covering"),"BULLISH",IF(OR(Option_Chain_Data[[#This Row],[InterPretation]]="LongLiquidation",Option_Chain_Data[[#This Row],[InterPretation]]="Short Build UP"),"BEARISH",""))</f>
        <v>BULLISH</v>
      </c>
      <c r="C2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24" s="138" t="str">
        <f>IF(Option_Chain_Data[[#This Row],[Call.changeinOpenInterest]]&gt;0,"UP",IF(Option_Chain_Data[[#This Row],[Call.changeinOpenInterest]]&lt;0,"DOWN",""))</f>
        <v>UP</v>
      </c>
      <c r="E24" s="138" t="str">
        <f>IF(Option_Chain_Data[[#This Row],[CAll.change]]&gt;0,"UP",IF(Option_Chain_Data[[#This Row],[CAll.change]]&lt;0,"DOWN",""))</f>
        <v>UP</v>
      </c>
      <c r="F24" s="139">
        <v>2</v>
      </c>
      <c r="G24" s="139">
        <v>2</v>
      </c>
      <c r="H24" s="139">
        <v>4</v>
      </c>
      <c r="I24" s="139">
        <v>0</v>
      </c>
      <c r="J24" s="139">
        <v>2748.6</v>
      </c>
      <c r="K24" s="139">
        <v>263.29999999999973</v>
      </c>
      <c r="L24" s="140">
        <v>15500</v>
      </c>
      <c r="M24" s="139">
        <v>-0.20000000000000007</v>
      </c>
      <c r="N24" s="139">
        <v>0.35</v>
      </c>
      <c r="O24" s="139">
        <v>103.35</v>
      </c>
      <c r="P24" s="139">
        <v>486</v>
      </c>
      <c r="Q24" s="139">
        <v>0</v>
      </c>
      <c r="R24" s="139">
        <v>5104</v>
      </c>
      <c r="S24" s="139">
        <v>18227.5</v>
      </c>
      <c r="T24" s="138" t="str">
        <f>IF(Option_Chain_Data[[#This Row],[PUT.change]]&gt;0,"UP",IF(Option_Chain_Data[[#This Row],[PUT.change]]&lt;0,"DOWN",""))</f>
        <v>DOWN</v>
      </c>
      <c r="U24" s="138" t="str">
        <f>IF(Option_Chain_Data[[#This Row],[PUT.changeinOpenInterest]]&gt;0,"UP",IF(Option_Chain_Data[[#This Row],[PUT.changeinOpenInterest]]&lt;0,"DOWN",""))</f>
        <v/>
      </c>
      <c r="V2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24" s="138" t="str">
        <f>IF(OR(Option_Chain_Data[[#This Row],[InterPretation2]]="Long Build UP",Option_Chain_Data[[#This Row],[InterPretation2]]="Short Covering"),"BULLISH",IF(OR(Option_Chain_Data[[#This Row],[InterPretation2]]="Long Liquidation",Option_Chain_Data[[#This Row],[InterPretation2]]="Short Build UP"),"BEARISH",""))</f>
        <v/>
      </c>
    </row>
    <row r="25" spans="1:23" ht="19.8" x14ac:dyDescent="0.4">
      <c r="A25" s="143" t="s">
        <v>123</v>
      </c>
      <c r="B25" s="138" t="str">
        <f>IF(OR(Option_Chain_Data[[#This Row],[InterPretation]]="Long Build UP",Option_Chain_Data[[#This Row],[InterPretation]]="Short Covering"),"BULLISH",IF(OR(Option_Chain_Data[[#This Row],[InterPretation]]="LongLiquidation",Option_Chain_Data[[#This Row],[InterPretation]]="Short Build UP"),"BEARISH",""))</f>
        <v/>
      </c>
      <c r="C2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5" s="138" t="str">
        <f>IF(Option_Chain_Data[[#This Row],[Call.changeinOpenInterest]]&gt;0,"UP",IF(Option_Chain_Data[[#This Row],[Call.changeinOpenInterest]]&lt;0,"DOWN",""))</f>
        <v/>
      </c>
      <c r="E25" s="138" t="str">
        <f>IF(Option_Chain_Data[[#This Row],[CAll.change]]&gt;0,"UP",IF(Option_Chain_Data[[#This Row],[CAll.change]]&lt;0,"DOWN",""))</f>
        <v/>
      </c>
      <c r="F25" s="139">
        <v>0</v>
      </c>
      <c r="G25" s="139">
        <v>0</v>
      </c>
      <c r="H25" s="139">
        <v>0</v>
      </c>
      <c r="I25" s="139">
        <v>0</v>
      </c>
      <c r="J25" s="139">
        <v>0</v>
      </c>
      <c r="K25" s="139">
        <v>0</v>
      </c>
      <c r="L25" s="140">
        <v>15550</v>
      </c>
      <c r="M25" s="139">
        <v>-0.19999999999999996</v>
      </c>
      <c r="N25" s="139">
        <v>0.4</v>
      </c>
      <c r="O25" s="139">
        <v>102.65</v>
      </c>
      <c r="P25" s="139">
        <v>96</v>
      </c>
      <c r="Q25" s="139">
        <v>20</v>
      </c>
      <c r="R25" s="139">
        <v>110</v>
      </c>
      <c r="S25" s="139">
        <v>18227.5</v>
      </c>
      <c r="T25" s="138" t="str">
        <f>IF(Option_Chain_Data[[#This Row],[PUT.change]]&gt;0,"UP",IF(Option_Chain_Data[[#This Row],[PUT.change]]&lt;0,"DOWN",""))</f>
        <v>DOWN</v>
      </c>
      <c r="U25" s="138" t="str">
        <f>IF(Option_Chain_Data[[#This Row],[PUT.changeinOpenInterest]]&gt;0,"UP",IF(Option_Chain_Data[[#This Row],[PUT.changeinOpenInterest]]&lt;0,"DOWN",""))</f>
        <v>UP</v>
      </c>
      <c r="V2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25" s="138" t="str">
        <f>IF(OR(Option_Chain_Data[[#This Row],[InterPretation2]]="Long Build UP",Option_Chain_Data[[#This Row],[InterPretation2]]="Short Covering"),"BULLISH",IF(OR(Option_Chain_Data[[#This Row],[InterPretation2]]="Long Liquidation",Option_Chain_Data[[#This Row],[InterPretation2]]="Short Build UP"),"BEARISH",""))</f>
        <v>BEARISH</v>
      </c>
    </row>
    <row r="26" spans="1:23" ht="19.8" x14ac:dyDescent="0.4">
      <c r="A26" s="143" t="s">
        <v>123</v>
      </c>
      <c r="B26" s="138" t="str">
        <f>IF(OR(Option_Chain_Data[[#This Row],[InterPretation]]="Long Build UP",Option_Chain_Data[[#This Row],[InterPretation]]="Short Covering"),"BULLISH",IF(OR(Option_Chain_Data[[#This Row],[InterPretation]]="LongLiquidation",Option_Chain_Data[[#This Row],[InterPretation]]="Short Build UP"),"BEARISH",""))</f>
        <v/>
      </c>
      <c r="C2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6" s="138" t="str">
        <f>IF(Option_Chain_Data[[#This Row],[Call.changeinOpenInterest]]&gt;0,"UP",IF(Option_Chain_Data[[#This Row],[Call.changeinOpenInterest]]&lt;0,"DOWN",""))</f>
        <v/>
      </c>
      <c r="E26" s="138" t="str">
        <f>IF(Option_Chain_Data[[#This Row],[CAll.change]]&gt;0,"UP",IF(Option_Chain_Data[[#This Row],[CAll.change]]&lt;0,"DOWN",""))</f>
        <v/>
      </c>
      <c r="F26" s="139">
        <v>0</v>
      </c>
      <c r="G26" s="139">
        <v>0</v>
      </c>
      <c r="H26" s="139">
        <v>0</v>
      </c>
      <c r="I26" s="139">
        <v>0</v>
      </c>
      <c r="J26" s="139">
        <v>0</v>
      </c>
      <c r="K26" s="139">
        <v>0</v>
      </c>
      <c r="L26" s="140">
        <v>15600</v>
      </c>
      <c r="M26" s="139">
        <v>-0.15000000000000002</v>
      </c>
      <c r="N26" s="139">
        <v>0.4</v>
      </c>
      <c r="O26" s="139">
        <v>100.75</v>
      </c>
      <c r="P26" s="139">
        <v>48</v>
      </c>
      <c r="Q26" s="139">
        <v>-22</v>
      </c>
      <c r="R26" s="139">
        <v>415</v>
      </c>
      <c r="S26" s="139">
        <v>18227.5</v>
      </c>
      <c r="T26" s="138" t="str">
        <f>IF(Option_Chain_Data[[#This Row],[PUT.change]]&gt;0,"UP",IF(Option_Chain_Data[[#This Row],[PUT.change]]&lt;0,"DOWN",""))</f>
        <v>DOWN</v>
      </c>
      <c r="U26" s="138" t="str">
        <f>IF(Option_Chain_Data[[#This Row],[PUT.changeinOpenInterest]]&gt;0,"UP",IF(Option_Chain_Data[[#This Row],[PUT.changeinOpenInterest]]&lt;0,"DOWN",""))</f>
        <v>DOWN</v>
      </c>
      <c r="V2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6" s="138" t="str">
        <f>IF(OR(Option_Chain_Data[[#This Row],[InterPretation2]]="Long Build UP",Option_Chain_Data[[#This Row],[InterPretation2]]="Short Covering"),"BULLISH",IF(OR(Option_Chain_Data[[#This Row],[InterPretation2]]="Long Liquidation",Option_Chain_Data[[#This Row],[InterPretation2]]="Short Build UP"),"BEARISH",""))</f>
        <v>BEARISH</v>
      </c>
    </row>
    <row r="27" spans="1:23" ht="19.8" x14ac:dyDescent="0.4">
      <c r="A27" s="143" t="s">
        <v>123</v>
      </c>
      <c r="B27" s="138" t="str">
        <f>IF(OR(Option_Chain_Data[[#This Row],[InterPretation]]="Long Build UP",Option_Chain_Data[[#This Row],[InterPretation]]="Short Covering"),"BULLISH",IF(OR(Option_Chain_Data[[#This Row],[InterPretation]]="LongLiquidation",Option_Chain_Data[[#This Row],[InterPretation]]="Short Build UP"),"BEARISH",""))</f>
        <v/>
      </c>
      <c r="C2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7" s="138" t="str">
        <f>IF(Option_Chain_Data[[#This Row],[Call.changeinOpenInterest]]&gt;0,"UP",IF(Option_Chain_Data[[#This Row],[Call.changeinOpenInterest]]&lt;0,"DOWN",""))</f>
        <v/>
      </c>
      <c r="E27" s="138" t="str">
        <f>IF(Option_Chain_Data[[#This Row],[CAll.change]]&gt;0,"UP",IF(Option_Chain_Data[[#This Row],[CAll.change]]&lt;0,"DOWN",""))</f>
        <v/>
      </c>
      <c r="F27" s="139">
        <v>0</v>
      </c>
      <c r="G27" s="139">
        <v>0</v>
      </c>
      <c r="H27" s="139">
        <v>0</v>
      </c>
      <c r="I27" s="139">
        <v>0</v>
      </c>
      <c r="J27" s="139">
        <v>0</v>
      </c>
      <c r="K27" s="139">
        <v>0</v>
      </c>
      <c r="L27" s="140">
        <v>15650</v>
      </c>
      <c r="M27" s="139">
        <v>4.9999999999999933E-2</v>
      </c>
      <c r="N27" s="139">
        <v>0.6</v>
      </c>
      <c r="O27" s="139">
        <v>102.57</v>
      </c>
      <c r="P27" s="139">
        <v>44</v>
      </c>
      <c r="Q27" s="139">
        <v>4</v>
      </c>
      <c r="R27" s="139">
        <v>88</v>
      </c>
      <c r="S27" s="139">
        <v>18227.5</v>
      </c>
      <c r="T27" s="138" t="str">
        <f>IF(Option_Chain_Data[[#This Row],[PUT.change]]&gt;0,"UP",IF(Option_Chain_Data[[#This Row],[PUT.change]]&lt;0,"DOWN",""))</f>
        <v>UP</v>
      </c>
      <c r="U27" s="138" t="str">
        <f>IF(Option_Chain_Data[[#This Row],[PUT.changeinOpenInterest]]&gt;0,"UP",IF(Option_Chain_Data[[#This Row],[PUT.changeinOpenInterest]]&lt;0,"DOWN",""))</f>
        <v>UP</v>
      </c>
      <c r="V2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Build UP</v>
      </c>
      <c r="W27" s="138" t="str">
        <f>IF(OR(Option_Chain_Data[[#This Row],[InterPretation2]]="Long Build UP",Option_Chain_Data[[#This Row],[InterPretation2]]="Short Covering"),"BULLISH",IF(OR(Option_Chain_Data[[#This Row],[InterPretation2]]="Long Liquidation",Option_Chain_Data[[#This Row],[InterPretation2]]="Short Build UP"),"BEARISH",""))</f>
        <v>BULLISH</v>
      </c>
    </row>
    <row r="28" spans="1:23" ht="19.8" x14ac:dyDescent="0.4">
      <c r="A28" s="143" t="s">
        <v>123</v>
      </c>
      <c r="B28" s="138" t="str">
        <f>IF(OR(Option_Chain_Data[[#This Row],[InterPretation]]="Long Build UP",Option_Chain_Data[[#This Row],[InterPretation]]="Short Covering"),"BULLISH",IF(OR(Option_Chain_Data[[#This Row],[InterPretation]]="LongLiquidation",Option_Chain_Data[[#This Row],[InterPretation]]="Short Build UP"),"BEARISH",""))</f>
        <v/>
      </c>
      <c r="C2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8" s="138" t="str">
        <f>IF(Option_Chain_Data[[#This Row],[Call.changeinOpenInterest]]&gt;0,"UP",IF(Option_Chain_Data[[#This Row],[Call.changeinOpenInterest]]&lt;0,"DOWN",""))</f>
        <v/>
      </c>
      <c r="E28" s="138" t="str">
        <f>IF(Option_Chain_Data[[#This Row],[CAll.change]]&gt;0,"UP",IF(Option_Chain_Data[[#This Row],[CAll.change]]&lt;0,"DOWN",""))</f>
        <v/>
      </c>
      <c r="F28" s="139">
        <v>2</v>
      </c>
      <c r="G28" s="139">
        <v>0</v>
      </c>
      <c r="H28" s="139">
        <v>0</v>
      </c>
      <c r="I28" s="139">
        <v>0</v>
      </c>
      <c r="J28" s="139">
        <v>0</v>
      </c>
      <c r="K28" s="139">
        <v>0</v>
      </c>
      <c r="L28" s="140">
        <v>15700</v>
      </c>
      <c r="M28" s="139">
        <v>-9.9999999999999978E-2</v>
      </c>
      <c r="N28" s="139">
        <v>0.4</v>
      </c>
      <c r="O28" s="139">
        <v>96.83</v>
      </c>
      <c r="P28" s="139">
        <v>191</v>
      </c>
      <c r="Q28" s="139">
        <v>-2</v>
      </c>
      <c r="R28" s="139">
        <v>376</v>
      </c>
      <c r="S28" s="139">
        <v>18222.349999999999</v>
      </c>
      <c r="T28" s="138" t="str">
        <f>IF(Option_Chain_Data[[#This Row],[PUT.change]]&gt;0,"UP",IF(Option_Chain_Data[[#This Row],[PUT.change]]&lt;0,"DOWN",""))</f>
        <v>DOWN</v>
      </c>
      <c r="U28" s="138" t="str">
        <f>IF(Option_Chain_Data[[#This Row],[PUT.changeinOpenInterest]]&gt;0,"UP",IF(Option_Chain_Data[[#This Row],[PUT.changeinOpenInterest]]&lt;0,"DOWN",""))</f>
        <v>DOWN</v>
      </c>
      <c r="V2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8" s="138" t="str">
        <f>IF(OR(Option_Chain_Data[[#This Row],[InterPretation2]]="Long Build UP",Option_Chain_Data[[#This Row],[InterPretation2]]="Short Covering"),"BULLISH",IF(OR(Option_Chain_Data[[#This Row],[InterPretation2]]="Long Liquidation",Option_Chain_Data[[#This Row],[InterPretation2]]="Short Build UP"),"BEARISH",""))</f>
        <v>BEARISH</v>
      </c>
    </row>
    <row r="29" spans="1:23" ht="19.8" x14ac:dyDescent="0.4">
      <c r="A29" s="143" t="s">
        <v>123</v>
      </c>
      <c r="B29" s="138" t="str">
        <f>IF(OR(Option_Chain_Data[[#This Row],[InterPretation]]="Long Build UP",Option_Chain_Data[[#This Row],[InterPretation]]="Short Covering"),"BULLISH",IF(OR(Option_Chain_Data[[#This Row],[InterPretation]]="LongLiquidation",Option_Chain_Data[[#This Row],[InterPretation]]="Short Build UP"),"BEARISH",""))</f>
        <v/>
      </c>
      <c r="C2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9" s="138" t="str">
        <f>IF(Option_Chain_Data[[#This Row],[Call.changeinOpenInterest]]&gt;0,"UP",IF(Option_Chain_Data[[#This Row],[Call.changeinOpenInterest]]&lt;0,"DOWN",""))</f>
        <v/>
      </c>
      <c r="E29" s="138" t="str">
        <f>IF(Option_Chain_Data[[#This Row],[CAll.change]]&gt;0,"UP",IF(Option_Chain_Data[[#This Row],[CAll.change]]&lt;0,"DOWN",""))</f>
        <v/>
      </c>
      <c r="F29" s="139">
        <v>0</v>
      </c>
      <c r="G29" s="139">
        <v>0</v>
      </c>
      <c r="H29" s="139">
        <v>0</v>
      </c>
      <c r="I29" s="139">
        <v>0</v>
      </c>
      <c r="J29" s="139">
        <v>0</v>
      </c>
      <c r="K29" s="139">
        <v>0</v>
      </c>
      <c r="L29" s="140">
        <v>15750</v>
      </c>
      <c r="M29" s="139">
        <v>0</v>
      </c>
      <c r="N29" s="139">
        <v>0</v>
      </c>
      <c r="O29" s="139">
        <v>0</v>
      </c>
      <c r="P29" s="139">
        <v>0</v>
      </c>
      <c r="Q29" s="139">
        <v>0</v>
      </c>
      <c r="R29" s="139">
        <v>57</v>
      </c>
      <c r="S29" s="139">
        <v>18227.5</v>
      </c>
      <c r="T29" s="138" t="str">
        <f>IF(Option_Chain_Data[[#This Row],[PUT.change]]&gt;0,"UP",IF(Option_Chain_Data[[#This Row],[PUT.change]]&lt;0,"DOWN",""))</f>
        <v/>
      </c>
      <c r="U29" s="138" t="str">
        <f>IF(Option_Chain_Data[[#This Row],[PUT.changeinOpenInterest]]&gt;0,"UP",IF(Option_Chain_Data[[#This Row],[PUT.changeinOpenInterest]]&lt;0,"DOWN",""))</f>
        <v/>
      </c>
      <c r="V2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29" s="138" t="str">
        <f>IF(OR(Option_Chain_Data[[#This Row],[InterPretation2]]="Long Build UP",Option_Chain_Data[[#This Row],[InterPretation2]]="Short Covering"),"BULLISH",IF(OR(Option_Chain_Data[[#This Row],[InterPretation2]]="Long Liquidation",Option_Chain_Data[[#This Row],[InterPretation2]]="Short Build UP"),"BEARISH",""))</f>
        <v/>
      </c>
    </row>
    <row r="30" spans="1:23" ht="19.8" x14ac:dyDescent="0.4">
      <c r="A30" s="143" t="s">
        <v>123</v>
      </c>
      <c r="B30" s="138" t="str">
        <f>IF(OR(Option_Chain_Data[[#This Row],[InterPretation]]="Long Build UP",Option_Chain_Data[[#This Row],[InterPretation]]="Short Covering"),"BULLISH",IF(OR(Option_Chain_Data[[#This Row],[InterPretation]]="LongLiquidation",Option_Chain_Data[[#This Row],[InterPretation]]="Short Build UP"),"BEARISH",""))</f>
        <v/>
      </c>
      <c r="C3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0" s="138" t="str">
        <f>IF(Option_Chain_Data[[#This Row],[Call.changeinOpenInterest]]&gt;0,"UP",IF(Option_Chain_Data[[#This Row],[Call.changeinOpenInterest]]&lt;0,"DOWN",""))</f>
        <v/>
      </c>
      <c r="E30" s="138" t="str">
        <f>IF(Option_Chain_Data[[#This Row],[CAll.change]]&gt;0,"UP",IF(Option_Chain_Data[[#This Row],[CAll.change]]&lt;0,"DOWN",""))</f>
        <v/>
      </c>
      <c r="F30" s="139">
        <v>0</v>
      </c>
      <c r="G30" s="139">
        <v>0</v>
      </c>
      <c r="H30" s="139">
        <v>0</v>
      </c>
      <c r="I30" s="139">
        <v>0</v>
      </c>
      <c r="J30" s="139">
        <v>0</v>
      </c>
      <c r="K30" s="139">
        <v>0</v>
      </c>
      <c r="L30" s="140">
        <v>15800</v>
      </c>
      <c r="M30" s="139">
        <v>5.0000000000000051E-2</v>
      </c>
      <c r="N30" s="139">
        <v>0.55000000000000004</v>
      </c>
      <c r="O30" s="139">
        <v>0</v>
      </c>
      <c r="P30" s="139">
        <v>85</v>
      </c>
      <c r="Q30" s="139">
        <v>-2</v>
      </c>
      <c r="R30" s="139">
        <v>604</v>
      </c>
      <c r="S30" s="139">
        <v>18222.349999999999</v>
      </c>
      <c r="T30" s="138" t="str">
        <f>IF(Option_Chain_Data[[#This Row],[PUT.change]]&gt;0,"UP",IF(Option_Chain_Data[[#This Row],[PUT.change]]&lt;0,"DOWN",""))</f>
        <v>UP</v>
      </c>
      <c r="U30" s="138" t="str">
        <f>IF(Option_Chain_Data[[#This Row],[PUT.changeinOpenInterest]]&gt;0,"UP",IF(Option_Chain_Data[[#This Row],[PUT.changeinOpenInterest]]&lt;0,"DOWN",""))</f>
        <v>DOWN</v>
      </c>
      <c r="V3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30" s="138" t="str">
        <f>IF(OR(Option_Chain_Data[[#This Row],[InterPretation2]]="Long Build UP",Option_Chain_Data[[#This Row],[InterPretation2]]="Short Covering"),"BULLISH",IF(OR(Option_Chain_Data[[#This Row],[InterPretation2]]="Long Liquidation",Option_Chain_Data[[#This Row],[InterPretation2]]="Short Build UP"),"BEARISH",""))</f>
        <v>BULLISH</v>
      </c>
    </row>
    <row r="31" spans="1:23" ht="19.8" x14ac:dyDescent="0.4">
      <c r="A31" s="143" t="s">
        <v>123</v>
      </c>
      <c r="B31" s="138" t="str">
        <f>IF(OR(Option_Chain_Data[[#This Row],[InterPretation]]="Long Build UP",Option_Chain_Data[[#This Row],[InterPretation]]="Short Covering"),"BULLISH",IF(OR(Option_Chain_Data[[#This Row],[InterPretation]]="LongLiquidation",Option_Chain_Data[[#This Row],[InterPretation]]="Short Build UP"),"BEARISH",""))</f>
        <v/>
      </c>
      <c r="C3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1" s="138" t="str">
        <f>IF(Option_Chain_Data[[#This Row],[Call.changeinOpenInterest]]&gt;0,"UP",IF(Option_Chain_Data[[#This Row],[Call.changeinOpenInterest]]&lt;0,"DOWN",""))</f>
        <v/>
      </c>
      <c r="E31" s="138" t="str">
        <f>IF(Option_Chain_Data[[#This Row],[CAll.change]]&gt;0,"UP",IF(Option_Chain_Data[[#This Row],[CAll.change]]&lt;0,"DOWN",""))</f>
        <v/>
      </c>
      <c r="F31" s="139">
        <v>0</v>
      </c>
      <c r="G31" s="139">
        <v>0</v>
      </c>
      <c r="H31" s="139">
        <v>0</v>
      </c>
      <c r="I31" s="139">
        <v>0</v>
      </c>
      <c r="J31" s="139">
        <v>0</v>
      </c>
      <c r="K31" s="139">
        <v>0</v>
      </c>
      <c r="L31" s="140">
        <v>15850</v>
      </c>
      <c r="M31" s="139">
        <v>0</v>
      </c>
      <c r="N31" s="139">
        <v>0</v>
      </c>
      <c r="O31" s="139">
        <v>0</v>
      </c>
      <c r="P31" s="139">
        <v>0</v>
      </c>
      <c r="Q31" s="139">
        <v>0</v>
      </c>
      <c r="R31" s="139">
        <v>118</v>
      </c>
      <c r="S31" s="139">
        <v>18227.5</v>
      </c>
      <c r="T31" s="138" t="str">
        <f>IF(Option_Chain_Data[[#This Row],[PUT.change]]&gt;0,"UP",IF(Option_Chain_Data[[#This Row],[PUT.change]]&lt;0,"DOWN",""))</f>
        <v/>
      </c>
      <c r="U31" s="138" t="str">
        <f>IF(Option_Chain_Data[[#This Row],[PUT.changeinOpenInterest]]&gt;0,"UP",IF(Option_Chain_Data[[#This Row],[PUT.changeinOpenInterest]]&lt;0,"DOWN",""))</f>
        <v/>
      </c>
      <c r="V3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31" s="138" t="str">
        <f>IF(OR(Option_Chain_Data[[#This Row],[InterPretation2]]="Long Build UP",Option_Chain_Data[[#This Row],[InterPretation2]]="Short Covering"),"BULLISH",IF(OR(Option_Chain_Data[[#This Row],[InterPretation2]]="Long Liquidation",Option_Chain_Data[[#This Row],[InterPretation2]]="Short Build UP"),"BEARISH",""))</f>
        <v/>
      </c>
    </row>
    <row r="32" spans="1:23" ht="19.8" x14ac:dyDescent="0.4">
      <c r="A32" s="143" t="s">
        <v>123</v>
      </c>
      <c r="B32" s="138" t="str">
        <f>IF(OR(Option_Chain_Data[[#This Row],[InterPretation]]="Long Build UP",Option_Chain_Data[[#This Row],[InterPretation]]="Short Covering"),"BULLISH",IF(OR(Option_Chain_Data[[#This Row],[InterPretation]]="LongLiquidation",Option_Chain_Data[[#This Row],[InterPretation]]="Short Build UP"),"BEARISH",""))</f>
        <v/>
      </c>
      <c r="C3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2" s="138" t="str">
        <f>IF(Option_Chain_Data[[#This Row],[Call.changeinOpenInterest]]&gt;0,"UP",IF(Option_Chain_Data[[#This Row],[Call.changeinOpenInterest]]&lt;0,"DOWN",""))</f>
        <v/>
      </c>
      <c r="E32" s="138" t="str">
        <f>IF(Option_Chain_Data[[#This Row],[CAll.change]]&gt;0,"UP",IF(Option_Chain_Data[[#This Row],[CAll.change]]&lt;0,"DOWN",""))</f>
        <v/>
      </c>
      <c r="F32" s="139">
        <v>0</v>
      </c>
      <c r="G32" s="139">
        <v>0</v>
      </c>
      <c r="H32" s="139">
        <v>0</v>
      </c>
      <c r="I32" s="139">
        <v>0</v>
      </c>
      <c r="J32" s="139">
        <v>0</v>
      </c>
      <c r="K32" s="139">
        <v>0</v>
      </c>
      <c r="L32" s="140">
        <v>15900</v>
      </c>
      <c r="M32" s="139">
        <v>-4.9999999999999933E-2</v>
      </c>
      <c r="N32" s="139">
        <v>0.55000000000000004</v>
      </c>
      <c r="O32" s="139">
        <v>0</v>
      </c>
      <c r="P32" s="139">
        <v>9</v>
      </c>
      <c r="Q32" s="139">
        <v>-1</v>
      </c>
      <c r="R32" s="139">
        <v>251</v>
      </c>
      <c r="S32" s="139">
        <v>18222.349999999999</v>
      </c>
      <c r="T32" s="138" t="str">
        <f>IF(Option_Chain_Data[[#This Row],[PUT.change]]&gt;0,"UP",IF(Option_Chain_Data[[#This Row],[PUT.change]]&lt;0,"DOWN",""))</f>
        <v>DOWN</v>
      </c>
      <c r="U32" s="138" t="str">
        <f>IF(Option_Chain_Data[[#This Row],[PUT.changeinOpenInterest]]&gt;0,"UP",IF(Option_Chain_Data[[#This Row],[PUT.changeinOpenInterest]]&lt;0,"DOWN",""))</f>
        <v>DOWN</v>
      </c>
      <c r="V3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2" s="138" t="str">
        <f>IF(OR(Option_Chain_Data[[#This Row],[InterPretation2]]="Long Build UP",Option_Chain_Data[[#This Row],[InterPretation2]]="Short Covering"),"BULLISH",IF(OR(Option_Chain_Data[[#This Row],[InterPretation2]]="Long Liquidation",Option_Chain_Data[[#This Row],[InterPretation2]]="Short Build UP"),"BEARISH",""))</f>
        <v>BEARISH</v>
      </c>
    </row>
    <row r="33" spans="1:23" ht="19.8" x14ac:dyDescent="0.4">
      <c r="A33" s="143" t="s">
        <v>123</v>
      </c>
      <c r="B33" s="138" t="str">
        <f>IF(OR(Option_Chain_Data[[#This Row],[InterPretation]]="Long Build UP",Option_Chain_Data[[#This Row],[InterPretation]]="Short Covering"),"BULLISH",IF(OR(Option_Chain_Data[[#This Row],[InterPretation]]="LongLiquidation",Option_Chain_Data[[#This Row],[InterPretation]]="Short Build UP"),"BEARISH",""))</f>
        <v/>
      </c>
      <c r="C3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3" s="138" t="str">
        <f>IF(Option_Chain_Data[[#This Row],[Call.changeinOpenInterest]]&gt;0,"UP",IF(Option_Chain_Data[[#This Row],[Call.changeinOpenInterest]]&lt;0,"DOWN",""))</f>
        <v/>
      </c>
      <c r="E33" s="138" t="str">
        <f>IF(Option_Chain_Data[[#This Row],[CAll.change]]&gt;0,"UP",IF(Option_Chain_Data[[#This Row],[CAll.change]]&lt;0,"DOWN",""))</f>
        <v/>
      </c>
      <c r="F33" s="139">
        <v>0</v>
      </c>
      <c r="G33" s="139">
        <v>0</v>
      </c>
      <c r="H33" s="139">
        <v>0</v>
      </c>
      <c r="I33" s="139">
        <v>0</v>
      </c>
      <c r="J33" s="139">
        <v>0</v>
      </c>
      <c r="K33" s="139">
        <v>0</v>
      </c>
      <c r="L33" s="140">
        <v>15950</v>
      </c>
      <c r="M33" s="139">
        <v>0</v>
      </c>
      <c r="N33" s="139">
        <v>0</v>
      </c>
      <c r="O33" s="139">
        <v>0</v>
      </c>
      <c r="P33" s="139">
        <v>0</v>
      </c>
      <c r="Q33" s="139">
        <v>0</v>
      </c>
      <c r="R33" s="139">
        <v>88</v>
      </c>
      <c r="S33" s="139">
        <v>18227.5</v>
      </c>
      <c r="T33" s="138" t="str">
        <f>IF(Option_Chain_Data[[#This Row],[PUT.change]]&gt;0,"UP",IF(Option_Chain_Data[[#This Row],[PUT.change]]&lt;0,"DOWN",""))</f>
        <v/>
      </c>
      <c r="U33" s="138" t="str">
        <f>IF(Option_Chain_Data[[#This Row],[PUT.changeinOpenInterest]]&gt;0,"UP",IF(Option_Chain_Data[[#This Row],[PUT.changeinOpenInterest]]&lt;0,"DOWN",""))</f>
        <v/>
      </c>
      <c r="V3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33" s="138" t="str">
        <f>IF(OR(Option_Chain_Data[[#This Row],[InterPretation2]]="Long Build UP",Option_Chain_Data[[#This Row],[InterPretation2]]="Short Covering"),"BULLISH",IF(OR(Option_Chain_Data[[#This Row],[InterPretation2]]="Long Liquidation",Option_Chain_Data[[#This Row],[InterPretation2]]="Short Build UP"),"BEARISH",""))</f>
        <v/>
      </c>
    </row>
    <row r="34" spans="1:23" ht="19.8" x14ac:dyDescent="0.4">
      <c r="A34" s="143" t="s">
        <v>123</v>
      </c>
      <c r="B34" s="138" t="str">
        <f>IF(OR(Option_Chain_Data[[#This Row],[InterPretation]]="Long Build UP",Option_Chain_Data[[#This Row],[InterPretation]]="Short Covering"),"BULLISH",IF(OR(Option_Chain_Data[[#This Row],[InterPretation]]="LongLiquidation",Option_Chain_Data[[#This Row],[InterPretation]]="Short Build UP"),"BEARISH",""))</f>
        <v>BULLISH</v>
      </c>
      <c r="C3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34" s="138" t="str">
        <f>IF(Option_Chain_Data[[#This Row],[Call.changeinOpenInterest]]&gt;0,"UP",IF(Option_Chain_Data[[#This Row],[Call.changeinOpenInterest]]&lt;0,"DOWN",""))</f>
        <v>DOWN</v>
      </c>
      <c r="E34" s="138" t="str">
        <f>IF(Option_Chain_Data[[#This Row],[CAll.change]]&gt;0,"UP",IF(Option_Chain_Data[[#This Row],[CAll.change]]&lt;0,"DOWN",""))</f>
        <v>UP</v>
      </c>
      <c r="F34" s="139">
        <v>137</v>
      </c>
      <c r="G34" s="139">
        <v>-39</v>
      </c>
      <c r="H34" s="139">
        <v>74</v>
      </c>
      <c r="I34" s="139">
        <v>151.19999999999999</v>
      </c>
      <c r="J34" s="139">
        <v>2253</v>
      </c>
      <c r="K34" s="139">
        <v>42.849999999999909</v>
      </c>
      <c r="L34" s="140">
        <v>16000</v>
      </c>
      <c r="M34" s="139">
        <v>-5.0000000000000051E-2</v>
      </c>
      <c r="N34" s="139">
        <v>0.6</v>
      </c>
      <c r="O34" s="139">
        <v>89.61</v>
      </c>
      <c r="P34" s="139">
        <v>6111</v>
      </c>
      <c r="Q34" s="139">
        <v>-186</v>
      </c>
      <c r="R34" s="139">
        <v>53736</v>
      </c>
      <c r="S34" s="139">
        <v>18227.5</v>
      </c>
      <c r="T34" s="138" t="str">
        <f>IF(Option_Chain_Data[[#This Row],[PUT.change]]&gt;0,"UP",IF(Option_Chain_Data[[#This Row],[PUT.change]]&lt;0,"DOWN",""))</f>
        <v>DOWN</v>
      </c>
      <c r="U34" s="138" t="str">
        <f>IF(Option_Chain_Data[[#This Row],[PUT.changeinOpenInterest]]&gt;0,"UP",IF(Option_Chain_Data[[#This Row],[PUT.changeinOpenInterest]]&lt;0,"DOWN",""))</f>
        <v>DOWN</v>
      </c>
      <c r="V3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4" s="138" t="str">
        <f>IF(OR(Option_Chain_Data[[#This Row],[InterPretation2]]="Long Build UP",Option_Chain_Data[[#This Row],[InterPretation2]]="Short Covering"),"BULLISH",IF(OR(Option_Chain_Data[[#This Row],[InterPretation2]]="Long Liquidation",Option_Chain_Data[[#This Row],[InterPretation2]]="Short Build UP"),"BEARISH",""))</f>
        <v>BEARISH</v>
      </c>
    </row>
    <row r="35" spans="1:23" ht="19.8" x14ac:dyDescent="0.4">
      <c r="A35" s="143" t="s">
        <v>123</v>
      </c>
      <c r="B35" s="138" t="str">
        <f>IF(OR(Option_Chain_Data[[#This Row],[InterPretation]]="Long Build UP",Option_Chain_Data[[#This Row],[InterPretation]]="Short Covering"),"BULLISH",IF(OR(Option_Chain_Data[[#This Row],[InterPretation]]="LongLiquidation",Option_Chain_Data[[#This Row],[InterPretation]]="Short Build UP"),"BEARISH",""))</f>
        <v/>
      </c>
      <c r="C3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5" s="138" t="str">
        <f>IF(Option_Chain_Data[[#This Row],[Call.changeinOpenInterest]]&gt;0,"UP",IF(Option_Chain_Data[[#This Row],[Call.changeinOpenInterest]]&lt;0,"DOWN",""))</f>
        <v/>
      </c>
      <c r="E35" s="138" t="str">
        <f>IF(Option_Chain_Data[[#This Row],[CAll.change]]&gt;0,"UP",IF(Option_Chain_Data[[#This Row],[CAll.change]]&lt;0,"DOWN",""))</f>
        <v/>
      </c>
      <c r="F35" s="139">
        <v>0</v>
      </c>
      <c r="G35" s="139">
        <v>0</v>
      </c>
      <c r="H35" s="139">
        <v>0</v>
      </c>
      <c r="I35" s="139">
        <v>0</v>
      </c>
      <c r="J35" s="139">
        <v>0</v>
      </c>
      <c r="K35" s="139">
        <v>0</v>
      </c>
      <c r="L35" s="140">
        <v>16050</v>
      </c>
      <c r="M35" s="139">
        <v>4.9999999999999933E-2</v>
      </c>
      <c r="N35" s="139">
        <v>0.6</v>
      </c>
      <c r="O35" s="139">
        <v>83.74</v>
      </c>
      <c r="P35" s="139">
        <v>69</v>
      </c>
      <c r="Q35" s="139">
        <v>-9</v>
      </c>
      <c r="R35" s="139">
        <v>93</v>
      </c>
      <c r="S35" s="139">
        <v>18227.5</v>
      </c>
      <c r="T35" s="138" t="str">
        <f>IF(Option_Chain_Data[[#This Row],[PUT.change]]&gt;0,"UP",IF(Option_Chain_Data[[#This Row],[PUT.change]]&lt;0,"DOWN",""))</f>
        <v>UP</v>
      </c>
      <c r="U35" s="138" t="str">
        <f>IF(Option_Chain_Data[[#This Row],[PUT.changeinOpenInterest]]&gt;0,"UP",IF(Option_Chain_Data[[#This Row],[PUT.changeinOpenInterest]]&lt;0,"DOWN",""))</f>
        <v>DOWN</v>
      </c>
      <c r="V3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35" s="138" t="str">
        <f>IF(OR(Option_Chain_Data[[#This Row],[InterPretation2]]="Long Build UP",Option_Chain_Data[[#This Row],[InterPretation2]]="Short Covering"),"BULLISH",IF(OR(Option_Chain_Data[[#This Row],[InterPretation2]]="Long Liquidation",Option_Chain_Data[[#This Row],[InterPretation2]]="Short Build UP"),"BEARISH",""))</f>
        <v>BULLISH</v>
      </c>
    </row>
    <row r="36" spans="1:23" ht="19.8" x14ac:dyDescent="0.4">
      <c r="A36" s="143" t="s">
        <v>123</v>
      </c>
      <c r="B36" s="138" t="str">
        <f>IF(OR(Option_Chain_Data[[#This Row],[InterPretation]]="Long Build UP",Option_Chain_Data[[#This Row],[InterPretation]]="Short Covering"),"BULLISH",IF(OR(Option_Chain_Data[[#This Row],[InterPretation]]="LongLiquidation",Option_Chain_Data[[#This Row],[InterPretation]]="Short Build UP"),"BEARISH",""))</f>
        <v/>
      </c>
      <c r="C3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6" s="138" t="str">
        <f>IF(Option_Chain_Data[[#This Row],[Call.changeinOpenInterest]]&gt;0,"UP",IF(Option_Chain_Data[[#This Row],[Call.changeinOpenInterest]]&lt;0,"DOWN",""))</f>
        <v/>
      </c>
      <c r="E36" s="138" t="str">
        <f>IF(Option_Chain_Data[[#This Row],[CAll.change]]&gt;0,"UP",IF(Option_Chain_Data[[#This Row],[CAll.change]]&lt;0,"DOWN",""))</f>
        <v/>
      </c>
      <c r="F36" s="139">
        <v>10</v>
      </c>
      <c r="G36" s="139">
        <v>0</v>
      </c>
      <c r="H36" s="139">
        <v>0</v>
      </c>
      <c r="I36" s="139">
        <v>0</v>
      </c>
      <c r="J36" s="139">
        <v>0</v>
      </c>
      <c r="K36" s="139">
        <v>0</v>
      </c>
      <c r="L36" s="140">
        <v>16100</v>
      </c>
      <c r="M36" s="139">
        <v>-9.9999999999999978E-2</v>
      </c>
      <c r="N36" s="139">
        <v>0.5</v>
      </c>
      <c r="O36" s="139">
        <v>83.46</v>
      </c>
      <c r="P36" s="139">
        <v>28</v>
      </c>
      <c r="Q36" s="139">
        <v>-4</v>
      </c>
      <c r="R36" s="139">
        <v>508</v>
      </c>
      <c r="S36" s="139">
        <v>18222.349999999999</v>
      </c>
      <c r="T36" s="138" t="str">
        <f>IF(Option_Chain_Data[[#This Row],[PUT.change]]&gt;0,"UP",IF(Option_Chain_Data[[#This Row],[PUT.change]]&lt;0,"DOWN",""))</f>
        <v>DOWN</v>
      </c>
      <c r="U36" s="138" t="str">
        <f>IF(Option_Chain_Data[[#This Row],[PUT.changeinOpenInterest]]&gt;0,"UP",IF(Option_Chain_Data[[#This Row],[PUT.changeinOpenInterest]]&lt;0,"DOWN",""))</f>
        <v>DOWN</v>
      </c>
      <c r="V3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6" s="138" t="str">
        <f>IF(OR(Option_Chain_Data[[#This Row],[InterPretation2]]="Long Build UP",Option_Chain_Data[[#This Row],[InterPretation2]]="Short Covering"),"BULLISH",IF(OR(Option_Chain_Data[[#This Row],[InterPretation2]]="Long Liquidation",Option_Chain_Data[[#This Row],[InterPretation2]]="Short Build UP"),"BEARISH",""))</f>
        <v>BEARISH</v>
      </c>
    </row>
    <row r="37" spans="1:23" ht="19.8" x14ac:dyDescent="0.4">
      <c r="A37" s="143" t="s">
        <v>123</v>
      </c>
      <c r="B37" s="138" t="str">
        <f>IF(OR(Option_Chain_Data[[#This Row],[InterPretation]]="Long Build UP",Option_Chain_Data[[#This Row],[InterPretation]]="Short Covering"),"BULLISH",IF(OR(Option_Chain_Data[[#This Row],[InterPretation]]="LongLiquidation",Option_Chain_Data[[#This Row],[InterPretation]]="Short Build UP"),"BEARISH",""))</f>
        <v/>
      </c>
      <c r="C3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7" s="138" t="str">
        <f>IF(Option_Chain_Data[[#This Row],[Call.changeinOpenInterest]]&gt;0,"UP",IF(Option_Chain_Data[[#This Row],[Call.changeinOpenInterest]]&lt;0,"DOWN",""))</f>
        <v/>
      </c>
      <c r="E37" s="138" t="str">
        <f>IF(Option_Chain_Data[[#This Row],[CAll.change]]&gt;0,"UP",IF(Option_Chain_Data[[#This Row],[CAll.change]]&lt;0,"DOWN",""))</f>
        <v/>
      </c>
      <c r="F37" s="139">
        <v>0</v>
      </c>
      <c r="G37" s="139">
        <v>0</v>
      </c>
      <c r="H37" s="139">
        <v>0</v>
      </c>
      <c r="I37" s="139">
        <v>0</v>
      </c>
      <c r="J37" s="139">
        <v>0</v>
      </c>
      <c r="K37" s="139">
        <v>0</v>
      </c>
      <c r="L37" s="140">
        <v>16150</v>
      </c>
      <c r="M37" s="139">
        <v>-0.25</v>
      </c>
      <c r="N37" s="139">
        <v>0.5</v>
      </c>
      <c r="O37" s="139">
        <v>81.67</v>
      </c>
      <c r="P37" s="139">
        <v>21</v>
      </c>
      <c r="Q37" s="139">
        <v>0</v>
      </c>
      <c r="R37" s="139">
        <v>70</v>
      </c>
      <c r="S37" s="139">
        <v>18227.5</v>
      </c>
      <c r="T37" s="138" t="str">
        <f>IF(Option_Chain_Data[[#This Row],[PUT.change]]&gt;0,"UP",IF(Option_Chain_Data[[#This Row],[PUT.change]]&lt;0,"DOWN",""))</f>
        <v>DOWN</v>
      </c>
      <c r="U37" s="138" t="str">
        <f>IF(Option_Chain_Data[[#This Row],[PUT.changeinOpenInterest]]&gt;0,"UP",IF(Option_Chain_Data[[#This Row],[PUT.changeinOpenInterest]]&lt;0,"DOWN",""))</f>
        <v/>
      </c>
      <c r="V3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37" s="138" t="str">
        <f>IF(OR(Option_Chain_Data[[#This Row],[InterPretation2]]="Long Build UP",Option_Chain_Data[[#This Row],[InterPretation2]]="Short Covering"),"BULLISH",IF(OR(Option_Chain_Data[[#This Row],[InterPretation2]]="Long Liquidation",Option_Chain_Data[[#This Row],[InterPretation2]]="Short Build UP"),"BEARISH",""))</f>
        <v/>
      </c>
    </row>
    <row r="38" spans="1:23" ht="19.8" x14ac:dyDescent="0.4">
      <c r="A38" s="143" t="s">
        <v>123</v>
      </c>
      <c r="B38" s="138" t="str">
        <f>IF(OR(Option_Chain_Data[[#This Row],[InterPretation]]="Long Build UP",Option_Chain_Data[[#This Row],[InterPretation]]="Short Covering"),"BULLISH",IF(OR(Option_Chain_Data[[#This Row],[InterPretation]]="LongLiquidation",Option_Chain_Data[[#This Row],[InterPretation]]="Short Build UP"),"BEARISH",""))</f>
        <v/>
      </c>
      <c r="C3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8" s="138" t="str">
        <f>IF(Option_Chain_Data[[#This Row],[Call.changeinOpenInterest]]&gt;0,"UP",IF(Option_Chain_Data[[#This Row],[Call.changeinOpenInterest]]&lt;0,"DOWN",""))</f>
        <v/>
      </c>
      <c r="E38" s="138" t="str">
        <f>IF(Option_Chain_Data[[#This Row],[CAll.change]]&gt;0,"UP",IF(Option_Chain_Data[[#This Row],[CAll.change]]&lt;0,"DOWN",""))</f>
        <v/>
      </c>
      <c r="F38" s="139">
        <v>18</v>
      </c>
      <c r="G38" s="139">
        <v>0</v>
      </c>
      <c r="H38" s="139">
        <v>0</v>
      </c>
      <c r="I38" s="139">
        <v>0</v>
      </c>
      <c r="J38" s="139">
        <v>0</v>
      </c>
      <c r="K38" s="139">
        <v>0</v>
      </c>
      <c r="L38" s="140">
        <v>16200</v>
      </c>
      <c r="M38" s="139">
        <v>-0.10000000000000003</v>
      </c>
      <c r="N38" s="139">
        <v>0.45</v>
      </c>
      <c r="O38" s="139">
        <v>78.989999999999995</v>
      </c>
      <c r="P38" s="139">
        <v>130</v>
      </c>
      <c r="Q38" s="139">
        <v>-1</v>
      </c>
      <c r="R38" s="139">
        <v>1157</v>
      </c>
      <c r="S38" s="139">
        <v>18227.5</v>
      </c>
      <c r="T38" s="138" t="str">
        <f>IF(Option_Chain_Data[[#This Row],[PUT.change]]&gt;0,"UP",IF(Option_Chain_Data[[#This Row],[PUT.change]]&lt;0,"DOWN",""))</f>
        <v>DOWN</v>
      </c>
      <c r="U38" s="138" t="str">
        <f>IF(Option_Chain_Data[[#This Row],[PUT.changeinOpenInterest]]&gt;0,"UP",IF(Option_Chain_Data[[#This Row],[PUT.changeinOpenInterest]]&lt;0,"DOWN",""))</f>
        <v>DOWN</v>
      </c>
      <c r="V3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8" s="138" t="str">
        <f>IF(OR(Option_Chain_Data[[#This Row],[InterPretation2]]="Long Build UP",Option_Chain_Data[[#This Row],[InterPretation2]]="Short Covering"),"BULLISH",IF(OR(Option_Chain_Data[[#This Row],[InterPretation2]]="Long Liquidation",Option_Chain_Data[[#This Row],[InterPretation2]]="Short Build UP"),"BEARISH",""))</f>
        <v>BEARISH</v>
      </c>
    </row>
    <row r="39" spans="1:23" ht="19.8" x14ac:dyDescent="0.4">
      <c r="A39" s="143" t="s">
        <v>123</v>
      </c>
      <c r="B39" s="138" t="str">
        <f>IF(OR(Option_Chain_Data[[#This Row],[InterPretation]]="Long Build UP",Option_Chain_Data[[#This Row],[InterPretation]]="Short Covering"),"BULLISH",IF(OR(Option_Chain_Data[[#This Row],[InterPretation]]="LongLiquidation",Option_Chain_Data[[#This Row],[InterPretation]]="Short Build UP"),"BEARISH",""))</f>
        <v/>
      </c>
      <c r="C3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9" s="138" t="str">
        <f>IF(Option_Chain_Data[[#This Row],[Call.changeinOpenInterest]]&gt;0,"UP",IF(Option_Chain_Data[[#This Row],[Call.changeinOpenInterest]]&lt;0,"DOWN",""))</f>
        <v/>
      </c>
      <c r="E39" s="138" t="str">
        <f>IF(Option_Chain_Data[[#This Row],[CAll.change]]&gt;0,"UP",IF(Option_Chain_Data[[#This Row],[CAll.change]]&lt;0,"DOWN",""))</f>
        <v/>
      </c>
      <c r="F39" s="139">
        <v>0</v>
      </c>
      <c r="G39" s="139">
        <v>0</v>
      </c>
      <c r="H39" s="139">
        <v>0</v>
      </c>
      <c r="I39" s="139">
        <v>0</v>
      </c>
      <c r="J39" s="139">
        <v>0</v>
      </c>
      <c r="K39" s="139">
        <v>0</v>
      </c>
      <c r="L39" s="140">
        <v>16250</v>
      </c>
      <c r="M39" s="139">
        <v>0</v>
      </c>
      <c r="N39" s="139">
        <v>0</v>
      </c>
      <c r="O39" s="139">
        <v>0</v>
      </c>
      <c r="P39" s="139">
        <v>0</v>
      </c>
      <c r="Q39" s="139">
        <v>0</v>
      </c>
      <c r="R39" s="139">
        <v>42</v>
      </c>
      <c r="S39" s="139">
        <v>18222.349999999999</v>
      </c>
      <c r="T39" s="138" t="str">
        <f>IF(Option_Chain_Data[[#This Row],[PUT.change]]&gt;0,"UP",IF(Option_Chain_Data[[#This Row],[PUT.change]]&lt;0,"DOWN",""))</f>
        <v/>
      </c>
      <c r="U39" s="138" t="str">
        <f>IF(Option_Chain_Data[[#This Row],[PUT.changeinOpenInterest]]&gt;0,"UP",IF(Option_Chain_Data[[#This Row],[PUT.changeinOpenInterest]]&lt;0,"DOWN",""))</f>
        <v/>
      </c>
      <c r="V3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39" s="138" t="str">
        <f>IF(OR(Option_Chain_Data[[#This Row],[InterPretation2]]="Long Build UP",Option_Chain_Data[[#This Row],[InterPretation2]]="Short Covering"),"BULLISH",IF(OR(Option_Chain_Data[[#This Row],[InterPretation2]]="Long Liquidation",Option_Chain_Data[[#This Row],[InterPretation2]]="Short Build UP"),"BEARISH",""))</f>
        <v/>
      </c>
    </row>
    <row r="40" spans="1:23" ht="19.8" x14ac:dyDescent="0.4">
      <c r="A40" s="143" t="s">
        <v>123</v>
      </c>
      <c r="B40" s="138" t="str">
        <f>IF(OR(Option_Chain_Data[[#This Row],[InterPretation]]="Long Build UP",Option_Chain_Data[[#This Row],[InterPretation]]="Short Covering"),"BULLISH",IF(OR(Option_Chain_Data[[#This Row],[InterPretation]]="LongLiquidation",Option_Chain_Data[[#This Row],[InterPretation]]="Short Build UP"),"BEARISH",""))</f>
        <v/>
      </c>
      <c r="C4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0" s="138" t="str">
        <f>IF(Option_Chain_Data[[#This Row],[Call.changeinOpenInterest]]&gt;0,"UP",IF(Option_Chain_Data[[#This Row],[Call.changeinOpenInterest]]&lt;0,"DOWN",""))</f>
        <v/>
      </c>
      <c r="E40" s="138" t="str">
        <f>IF(Option_Chain_Data[[#This Row],[CAll.change]]&gt;0,"UP",IF(Option_Chain_Data[[#This Row],[CAll.change]]&lt;0,"DOWN",""))</f>
        <v>UP</v>
      </c>
      <c r="F40" s="139">
        <v>69</v>
      </c>
      <c r="G40" s="139">
        <v>0</v>
      </c>
      <c r="H40" s="139">
        <v>20</v>
      </c>
      <c r="I40" s="139">
        <v>86.03</v>
      </c>
      <c r="J40" s="139">
        <v>1928</v>
      </c>
      <c r="K40" s="139">
        <v>193</v>
      </c>
      <c r="L40" s="140">
        <v>16300</v>
      </c>
      <c r="M40" s="139">
        <v>-9.9999999999999978E-2</v>
      </c>
      <c r="N40" s="139">
        <v>0.55000000000000004</v>
      </c>
      <c r="O40" s="139">
        <v>76.56</v>
      </c>
      <c r="P40" s="139">
        <v>66</v>
      </c>
      <c r="Q40" s="139">
        <v>-2</v>
      </c>
      <c r="R40" s="139">
        <v>724</v>
      </c>
      <c r="S40" s="139">
        <v>18222.349999999999</v>
      </c>
      <c r="T40" s="138" t="str">
        <f>IF(Option_Chain_Data[[#This Row],[PUT.change]]&gt;0,"UP",IF(Option_Chain_Data[[#This Row],[PUT.change]]&lt;0,"DOWN",""))</f>
        <v>DOWN</v>
      </c>
      <c r="U40" s="138" t="str">
        <f>IF(Option_Chain_Data[[#This Row],[PUT.changeinOpenInterest]]&gt;0,"UP",IF(Option_Chain_Data[[#This Row],[PUT.changeinOpenInterest]]&lt;0,"DOWN",""))</f>
        <v>DOWN</v>
      </c>
      <c r="V4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40" s="138" t="str">
        <f>IF(OR(Option_Chain_Data[[#This Row],[InterPretation2]]="Long Build UP",Option_Chain_Data[[#This Row],[InterPretation2]]="Short Covering"),"BULLISH",IF(OR(Option_Chain_Data[[#This Row],[InterPretation2]]="Long Liquidation",Option_Chain_Data[[#This Row],[InterPretation2]]="Short Build UP"),"BEARISH",""))</f>
        <v>BEARISH</v>
      </c>
    </row>
    <row r="41" spans="1:23" ht="19.8" x14ac:dyDescent="0.4">
      <c r="A41" s="143" t="s">
        <v>123</v>
      </c>
      <c r="B41" s="138" t="str">
        <f>IF(OR(Option_Chain_Data[[#This Row],[InterPretation]]="Long Build UP",Option_Chain_Data[[#This Row],[InterPretation]]="Short Covering"),"BULLISH",IF(OR(Option_Chain_Data[[#This Row],[InterPretation]]="LongLiquidation",Option_Chain_Data[[#This Row],[InterPretation]]="Short Build UP"),"BEARISH",""))</f>
        <v/>
      </c>
      <c r="C4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1" s="138" t="str">
        <f>IF(Option_Chain_Data[[#This Row],[Call.changeinOpenInterest]]&gt;0,"UP",IF(Option_Chain_Data[[#This Row],[Call.changeinOpenInterest]]&lt;0,"DOWN",""))</f>
        <v/>
      </c>
      <c r="E41" s="138" t="str">
        <f>IF(Option_Chain_Data[[#This Row],[CAll.change]]&gt;0,"UP",IF(Option_Chain_Data[[#This Row],[CAll.change]]&lt;0,"DOWN",""))</f>
        <v/>
      </c>
      <c r="F41" s="139">
        <v>11</v>
      </c>
      <c r="G41" s="139">
        <v>0</v>
      </c>
      <c r="H41" s="139">
        <v>0</v>
      </c>
      <c r="I41" s="139">
        <v>0</v>
      </c>
      <c r="J41" s="139">
        <v>0</v>
      </c>
      <c r="K41" s="139">
        <v>0</v>
      </c>
      <c r="L41" s="140">
        <v>16350</v>
      </c>
      <c r="M41" s="139">
        <v>-5.0000000000000051E-2</v>
      </c>
      <c r="N41" s="139">
        <v>0.6</v>
      </c>
      <c r="O41" s="139">
        <v>75.41</v>
      </c>
      <c r="P41" s="139">
        <v>112</v>
      </c>
      <c r="Q41" s="139">
        <v>67</v>
      </c>
      <c r="R41" s="139">
        <v>233</v>
      </c>
      <c r="S41" s="139">
        <v>18227.5</v>
      </c>
      <c r="T41" s="138" t="str">
        <f>IF(Option_Chain_Data[[#This Row],[PUT.change]]&gt;0,"UP",IF(Option_Chain_Data[[#This Row],[PUT.change]]&lt;0,"DOWN",""))</f>
        <v>DOWN</v>
      </c>
      <c r="U41" s="138" t="str">
        <f>IF(Option_Chain_Data[[#This Row],[PUT.changeinOpenInterest]]&gt;0,"UP",IF(Option_Chain_Data[[#This Row],[PUT.changeinOpenInterest]]&lt;0,"DOWN",""))</f>
        <v>UP</v>
      </c>
      <c r="V4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1" s="138" t="str">
        <f>IF(OR(Option_Chain_Data[[#This Row],[InterPretation2]]="Long Build UP",Option_Chain_Data[[#This Row],[InterPretation2]]="Short Covering"),"BULLISH",IF(OR(Option_Chain_Data[[#This Row],[InterPretation2]]="Long Liquidation",Option_Chain_Data[[#This Row],[InterPretation2]]="Short Build UP"),"BEARISH",""))</f>
        <v>BEARISH</v>
      </c>
    </row>
    <row r="42" spans="1:23" ht="19.8" x14ac:dyDescent="0.4">
      <c r="A42" s="143" t="s">
        <v>123</v>
      </c>
      <c r="B42" s="138" t="str">
        <f>IF(OR(Option_Chain_Data[[#This Row],[InterPretation]]="Long Build UP",Option_Chain_Data[[#This Row],[InterPretation]]="Short Covering"),"BULLISH",IF(OR(Option_Chain_Data[[#This Row],[InterPretation]]="LongLiquidation",Option_Chain_Data[[#This Row],[InterPretation]]="Short Build UP"),"BEARISH",""))</f>
        <v/>
      </c>
      <c r="C4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2" s="138" t="str">
        <f>IF(Option_Chain_Data[[#This Row],[Call.changeinOpenInterest]]&gt;0,"UP",IF(Option_Chain_Data[[#This Row],[Call.changeinOpenInterest]]&lt;0,"DOWN",""))</f>
        <v/>
      </c>
      <c r="E42" s="138" t="str">
        <f>IF(Option_Chain_Data[[#This Row],[CAll.change]]&gt;0,"UP",IF(Option_Chain_Data[[#This Row],[CAll.change]]&lt;0,"DOWN",""))</f>
        <v/>
      </c>
      <c r="F42" s="139">
        <v>44</v>
      </c>
      <c r="G42" s="139">
        <v>0</v>
      </c>
      <c r="H42" s="139">
        <v>0</v>
      </c>
      <c r="I42" s="139">
        <v>0</v>
      </c>
      <c r="J42" s="139">
        <v>0</v>
      </c>
      <c r="K42" s="139">
        <v>0</v>
      </c>
      <c r="L42" s="140">
        <v>16400</v>
      </c>
      <c r="M42" s="139">
        <v>0</v>
      </c>
      <c r="N42" s="139">
        <v>0.65</v>
      </c>
      <c r="O42" s="139">
        <v>74.069999999999993</v>
      </c>
      <c r="P42" s="139">
        <v>226</v>
      </c>
      <c r="Q42" s="139">
        <v>-34</v>
      </c>
      <c r="R42" s="139">
        <v>1144</v>
      </c>
      <c r="S42" s="139">
        <v>18227.5</v>
      </c>
      <c r="T42" s="138" t="str">
        <f>IF(Option_Chain_Data[[#This Row],[PUT.change]]&gt;0,"UP",IF(Option_Chain_Data[[#This Row],[PUT.change]]&lt;0,"DOWN",""))</f>
        <v/>
      </c>
      <c r="U42" s="138" t="str">
        <f>IF(Option_Chain_Data[[#This Row],[PUT.changeinOpenInterest]]&gt;0,"UP",IF(Option_Chain_Data[[#This Row],[PUT.changeinOpenInterest]]&lt;0,"DOWN",""))</f>
        <v>DOWN</v>
      </c>
      <c r="V4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42" s="138" t="str">
        <f>IF(OR(Option_Chain_Data[[#This Row],[InterPretation2]]="Long Build UP",Option_Chain_Data[[#This Row],[InterPretation2]]="Short Covering"),"BULLISH",IF(OR(Option_Chain_Data[[#This Row],[InterPretation2]]="Long Liquidation",Option_Chain_Data[[#This Row],[InterPretation2]]="Short Build UP"),"BEARISH",""))</f>
        <v/>
      </c>
    </row>
    <row r="43" spans="1:23" ht="19.8" x14ac:dyDescent="0.4">
      <c r="A43" s="143" t="s">
        <v>123</v>
      </c>
      <c r="B43" s="138" t="str">
        <f>IF(OR(Option_Chain_Data[[#This Row],[InterPretation]]="Long Build UP",Option_Chain_Data[[#This Row],[InterPretation]]="Short Covering"),"BULLISH",IF(OR(Option_Chain_Data[[#This Row],[InterPretation]]="LongLiquidation",Option_Chain_Data[[#This Row],[InterPretation]]="Short Build UP"),"BEARISH",""))</f>
        <v/>
      </c>
      <c r="C4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3" s="138" t="str">
        <f>IF(Option_Chain_Data[[#This Row],[Call.changeinOpenInterest]]&gt;0,"UP",IF(Option_Chain_Data[[#This Row],[Call.changeinOpenInterest]]&lt;0,"DOWN",""))</f>
        <v/>
      </c>
      <c r="E43" s="138" t="str">
        <f>IF(Option_Chain_Data[[#This Row],[CAll.change]]&gt;0,"UP",IF(Option_Chain_Data[[#This Row],[CAll.change]]&lt;0,"DOWN",""))</f>
        <v/>
      </c>
      <c r="F43" s="139">
        <v>0</v>
      </c>
      <c r="G43" s="139">
        <v>0</v>
      </c>
      <c r="H43" s="139">
        <v>0</v>
      </c>
      <c r="I43" s="139">
        <v>0</v>
      </c>
      <c r="J43" s="139">
        <v>0</v>
      </c>
      <c r="K43" s="139">
        <v>0</v>
      </c>
      <c r="L43" s="140">
        <v>16450</v>
      </c>
      <c r="M43" s="139">
        <v>5.0000000000000051E-2</v>
      </c>
      <c r="N43" s="139">
        <v>0.65</v>
      </c>
      <c r="O43" s="139">
        <v>71.56</v>
      </c>
      <c r="P43" s="139">
        <v>112</v>
      </c>
      <c r="Q43" s="139">
        <v>11</v>
      </c>
      <c r="R43" s="139">
        <v>163</v>
      </c>
      <c r="S43" s="139">
        <v>18227.5</v>
      </c>
      <c r="T43" s="138" t="str">
        <f>IF(Option_Chain_Data[[#This Row],[PUT.change]]&gt;0,"UP",IF(Option_Chain_Data[[#This Row],[PUT.change]]&lt;0,"DOWN",""))</f>
        <v>UP</v>
      </c>
      <c r="U43" s="138" t="str">
        <f>IF(Option_Chain_Data[[#This Row],[PUT.changeinOpenInterest]]&gt;0,"UP",IF(Option_Chain_Data[[#This Row],[PUT.changeinOpenInterest]]&lt;0,"DOWN",""))</f>
        <v>UP</v>
      </c>
      <c r="V4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Build UP</v>
      </c>
      <c r="W43" s="138" t="str">
        <f>IF(OR(Option_Chain_Data[[#This Row],[InterPretation2]]="Long Build UP",Option_Chain_Data[[#This Row],[InterPretation2]]="Short Covering"),"BULLISH",IF(OR(Option_Chain_Data[[#This Row],[InterPretation2]]="Long Liquidation",Option_Chain_Data[[#This Row],[InterPretation2]]="Short Build UP"),"BEARISH",""))</f>
        <v>BULLISH</v>
      </c>
    </row>
    <row r="44" spans="1:23" ht="19.8" x14ac:dyDescent="0.4">
      <c r="A44" s="143" t="s">
        <v>123</v>
      </c>
      <c r="B44" s="138" t="str">
        <f>IF(OR(Option_Chain_Data[[#This Row],[InterPretation]]="Long Build UP",Option_Chain_Data[[#This Row],[InterPretation]]="Short Covering"),"BULLISH",IF(OR(Option_Chain_Data[[#This Row],[InterPretation]]="LongLiquidation",Option_Chain_Data[[#This Row],[InterPretation]]="Short Build UP"),"BEARISH",""))</f>
        <v/>
      </c>
      <c r="C4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4" s="138" t="str">
        <f>IF(Option_Chain_Data[[#This Row],[Call.changeinOpenInterest]]&gt;0,"UP",IF(Option_Chain_Data[[#This Row],[Call.changeinOpenInterest]]&lt;0,"DOWN",""))</f>
        <v/>
      </c>
      <c r="E44" s="138" t="str">
        <f>IF(Option_Chain_Data[[#This Row],[CAll.change]]&gt;0,"UP",IF(Option_Chain_Data[[#This Row],[CAll.change]]&lt;0,"DOWN",""))</f>
        <v/>
      </c>
      <c r="F44" s="144">
        <v>574</v>
      </c>
      <c r="G44" s="144">
        <v>0</v>
      </c>
      <c r="H44" s="139">
        <v>0</v>
      </c>
      <c r="I44" s="139">
        <v>0</v>
      </c>
      <c r="J44" s="144">
        <v>0</v>
      </c>
      <c r="K44" s="144">
        <v>0</v>
      </c>
      <c r="L44" s="140">
        <v>16500</v>
      </c>
      <c r="M44" s="144">
        <v>-9.9999999999999978E-2</v>
      </c>
      <c r="N44" s="144">
        <v>0.6</v>
      </c>
      <c r="O44" s="139">
        <v>70.209999999999994</v>
      </c>
      <c r="P44" s="139">
        <v>8456</v>
      </c>
      <c r="Q44" s="144">
        <v>-943</v>
      </c>
      <c r="R44" s="144">
        <v>25009</v>
      </c>
      <c r="S44" s="139">
        <v>18227.5</v>
      </c>
      <c r="T44" s="138" t="str">
        <f>IF(Option_Chain_Data[[#This Row],[PUT.change]]&gt;0,"UP",IF(Option_Chain_Data[[#This Row],[PUT.change]]&lt;0,"DOWN",""))</f>
        <v>DOWN</v>
      </c>
      <c r="U44" s="138" t="str">
        <f>IF(Option_Chain_Data[[#This Row],[PUT.changeinOpenInterest]]&gt;0,"UP",IF(Option_Chain_Data[[#This Row],[PUT.changeinOpenInterest]]&lt;0,"DOWN",""))</f>
        <v>DOWN</v>
      </c>
      <c r="V4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44" s="138" t="str">
        <f>IF(OR(Option_Chain_Data[[#This Row],[InterPretation2]]="Long Build UP",Option_Chain_Data[[#This Row],[InterPretation2]]="Short Covering"),"BULLISH",IF(OR(Option_Chain_Data[[#This Row],[InterPretation2]]="Long Liquidation",Option_Chain_Data[[#This Row],[InterPretation2]]="Short Build UP"),"BEARISH",""))</f>
        <v>BEARISH</v>
      </c>
    </row>
    <row r="45" spans="1:23" s="143" customFormat="1" ht="19.8" x14ac:dyDescent="0.4">
      <c r="A45" s="143" t="s">
        <v>123</v>
      </c>
      <c r="B45" s="138" t="str">
        <f>IF(OR(Option_Chain_Data[[#This Row],[InterPretation]]="Long Build UP",Option_Chain_Data[[#This Row],[InterPretation]]="Short Covering"),"BULLISH",IF(OR(Option_Chain_Data[[#This Row],[InterPretation]]="LongLiquidation",Option_Chain_Data[[#This Row],[InterPretation]]="Short Build UP"),"BEARISH",""))</f>
        <v/>
      </c>
      <c r="C4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5" s="138" t="str">
        <f>IF(Option_Chain_Data[[#This Row],[Call.changeinOpenInterest]]&gt;0,"UP",IF(Option_Chain_Data[[#This Row],[Call.changeinOpenInterest]]&lt;0,"DOWN",""))</f>
        <v/>
      </c>
      <c r="E45" s="138" t="str">
        <f>IF(Option_Chain_Data[[#This Row],[CAll.change]]&gt;0,"UP",IF(Option_Chain_Data[[#This Row],[CAll.change]]&lt;0,"DOWN",""))</f>
        <v/>
      </c>
      <c r="F45" s="139">
        <v>0</v>
      </c>
      <c r="G45" s="139">
        <v>0</v>
      </c>
      <c r="H45" s="139">
        <v>0</v>
      </c>
      <c r="I45" s="139">
        <v>0</v>
      </c>
      <c r="J45" s="139">
        <v>0</v>
      </c>
      <c r="K45" s="139">
        <v>0</v>
      </c>
      <c r="L45" s="140">
        <v>16550</v>
      </c>
      <c r="M45" s="139">
        <v>-0.15000000000000002</v>
      </c>
      <c r="N45" s="139">
        <v>0.5</v>
      </c>
      <c r="O45" s="139">
        <v>66.52</v>
      </c>
      <c r="P45" s="139">
        <v>194</v>
      </c>
      <c r="Q45" s="139">
        <v>53</v>
      </c>
      <c r="R45" s="139">
        <v>709</v>
      </c>
      <c r="S45" s="139">
        <v>18227.5</v>
      </c>
      <c r="T45" s="138" t="str">
        <f>IF(Option_Chain_Data[[#This Row],[PUT.change]]&gt;0,"UP",IF(Option_Chain_Data[[#This Row],[PUT.change]]&lt;0,"DOWN",""))</f>
        <v>DOWN</v>
      </c>
      <c r="U45" s="138" t="str">
        <f>IF(Option_Chain_Data[[#This Row],[PUT.changeinOpenInterest]]&gt;0,"UP",IF(Option_Chain_Data[[#This Row],[PUT.changeinOpenInterest]]&lt;0,"DOWN",""))</f>
        <v>UP</v>
      </c>
      <c r="V4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5" s="138" t="str">
        <f>IF(OR(Option_Chain_Data[[#This Row],[InterPretation2]]="Long Build UP",Option_Chain_Data[[#This Row],[InterPretation2]]="Short Covering"),"BULLISH",IF(OR(Option_Chain_Data[[#This Row],[InterPretation2]]="Long Liquidation",Option_Chain_Data[[#This Row],[InterPretation2]]="Short Build UP"),"BEARISH",""))</f>
        <v>BEARISH</v>
      </c>
    </row>
    <row r="46" spans="1:23" ht="19.8" x14ac:dyDescent="0.4">
      <c r="A46" s="143" t="s">
        <v>123</v>
      </c>
      <c r="B46" s="138" t="str">
        <f>IF(OR(Option_Chain_Data[[#This Row],[InterPretation]]="Long Build UP",Option_Chain_Data[[#This Row],[InterPretation]]="Short Covering"),"BULLISH",IF(OR(Option_Chain_Data[[#This Row],[InterPretation]]="LongLiquidation",Option_Chain_Data[[#This Row],[InterPretation]]="Short Build UP"),"BEARISH",""))</f>
        <v/>
      </c>
      <c r="C4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6" s="138" t="str">
        <f>IF(Option_Chain_Data[[#This Row],[Call.changeinOpenInterest]]&gt;0,"UP",IF(Option_Chain_Data[[#This Row],[Call.changeinOpenInterest]]&lt;0,"DOWN",""))</f>
        <v/>
      </c>
      <c r="E46" s="138" t="str">
        <f>IF(Option_Chain_Data[[#This Row],[CAll.change]]&gt;0,"UP",IF(Option_Chain_Data[[#This Row],[CAll.change]]&lt;0,"DOWN",""))</f>
        <v>UP</v>
      </c>
      <c r="F46" s="144">
        <v>44</v>
      </c>
      <c r="G46" s="144">
        <v>0</v>
      </c>
      <c r="H46" s="139">
        <v>1</v>
      </c>
      <c r="I46" s="139">
        <v>72.989999999999995</v>
      </c>
      <c r="J46" s="144">
        <v>1630</v>
      </c>
      <c r="K46" s="144">
        <v>169.79999999999995</v>
      </c>
      <c r="L46" s="140">
        <v>16600</v>
      </c>
      <c r="M46" s="144">
        <v>-5.0000000000000051E-2</v>
      </c>
      <c r="N46" s="144">
        <v>0.6</v>
      </c>
      <c r="O46" s="139">
        <v>65.81</v>
      </c>
      <c r="P46" s="139">
        <v>1867</v>
      </c>
      <c r="Q46" s="144">
        <v>-393</v>
      </c>
      <c r="R46" s="144">
        <v>3392</v>
      </c>
      <c r="S46" s="139">
        <v>18227.5</v>
      </c>
      <c r="T46" s="138" t="str">
        <f>IF(Option_Chain_Data[[#This Row],[PUT.change]]&gt;0,"UP",IF(Option_Chain_Data[[#This Row],[PUT.change]]&lt;0,"DOWN",""))</f>
        <v>DOWN</v>
      </c>
      <c r="U46" s="138" t="str">
        <f>IF(Option_Chain_Data[[#This Row],[PUT.changeinOpenInterest]]&gt;0,"UP",IF(Option_Chain_Data[[#This Row],[PUT.changeinOpenInterest]]&lt;0,"DOWN",""))</f>
        <v>DOWN</v>
      </c>
      <c r="V4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46" s="138" t="str">
        <f>IF(OR(Option_Chain_Data[[#This Row],[InterPretation2]]="Long Build UP",Option_Chain_Data[[#This Row],[InterPretation2]]="Short Covering"),"BULLISH",IF(OR(Option_Chain_Data[[#This Row],[InterPretation2]]="Long Liquidation",Option_Chain_Data[[#This Row],[InterPretation2]]="Short Build UP"),"BEARISH",""))</f>
        <v>BEARISH</v>
      </c>
    </row>
    <row r="47" spans="1:23" s="143" customFormat="1" ht="19.8" x14ac:dyDescent="0.4">
      <c r="A47" s="143" t="s">
        <v>123</v>
      </c>
      <c r="B47" s="138" t="str">
        <f>IF(OR(Option_Chain_Data[[#This Row],[InterPretation]]="Long Build UP",Option_Chain_Data[[#This Row],[InterPretation]]="Short Covering"),"BULLISH",IF(OR(Option_Chain_Data[[#This Row],[InterPretation]]="LongLiquidation",Option_Chain_Data[[#This Row],[InterPretation]]="Short Build UP"),"BEARISH",""))</f>
        <v/>
      </c>
      <c r="C4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7" s="138" t="str">
        <f>IF(Option_Chain_Data[[#This Row],[Call.changeinOpenInterest]]&gt;0,"UP",IF(Option_Chain_Data[[#This Row],[Call.changeinOpenInterest]]&lt;0,"DOWN",""))</f>
        <v/>
      </c>
      <c r="E47" s="138" t="str">
        <f>IF(Option_Chain_Data[[#This Row],[CAll.change]]&gt;0,"UP",IF(Option_Chain_Data[[#This Row],[CAll.change]]&lt;0,"DOWN",""))</f>
        <v/>
      </c>
      <c r="F47" s="139">
        <v>0</v>
      </c>
      <c r="G47" s="139">
        <v>0</v>
      </c>
      <c r="H47" s="139">
        <v>0</v>
      </c>
      <c r="I47" s="139">
        <v>0</v>
      </c>
      <c r="J47" s="139">
        <v>0</v>
      </c>
      <c r="K47" s="139">
        <v>0</v>
      </c>
      <c r="L47" s="140">
        <v>16650</v>
      </c>
      <c r="M47" s="139">
        <v>-9.9999999999999978E-2</v>
      </c>
      <c r="N47" s="139">
        <v>0.6</v>
      </c>
      <c r="O47" s="139">
        <v>62.75</v>
      </c>
      <c r="P47" s="139">
        <v>3346</v>
      </c>
      <c r="Q47" s="139">
        <v>818</v>
      </c>
      <c r="R47" s="139">
        <v>2316</v>
      </c>
      <c r="S47" s="139">
        <v>18227.5</v>
      </c>
      <c r="T47" s="138" t="str">
        <f>IF(Option_Chain_Data[[#This Row],[PUT.change]]&gt;0,"UP",IF(Option_Chain_Data[[#This Row],[PUT.change]]&lt;0,"DOWN",""))</f>
        <v>DOWN</v>
      </c>
      <c r="U47" s="138" t="str">
        <f>IF(Option_Chain_Data[[#This Row],[PUT.changeinOpenInterest]]&gt;0,"UP",IF(Option_Chain_Data[[#This Row],[PUT.changeinOpenInterest]]&lt;0,"DOWN",""))</f>
        <v>UP</v>
      </c>
      <c r="V4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7" s="138" t="str">
        <f>IF(OR(Option_Chain_Data[[#This Row],[InterPretation2]]="Long Build UP",Option_Chain_Data[[#This Row],[InterPretation2]]="Short Covering"),"BULLISH",IF(OR(Option_Chain_Data[[#This Row],[InterPretation2]]="Long Liquidation",Option_Chain_Data[[#This Row],[InterPretation2]]="Short Build UP"),"BEARISH",""))</f>
        <v>BEARISH</v>
      </c>
    </row>
    <row r="48" spans="1:23" ht="19.8" x14ac:dyDescent="0.4">
      <c r="A48" s="143" t="s">
        <v>123</v>
      </c>
      <c r="B48" s="138" t="str">
        <f>IF(OR(Option_Chain_Data[[#This Row],[InterPretation]]="Long Build UP",Option_Chain_Data[[#This Row],[InterPretation]]="Short Covering"),"BULLISH",IF(OR(Option_Chain_Data[[#This Row],[InterPretation]]="LongLiquidation",Option_Chain_Data[[#This Row],[InterPretation]]="Short Build UP"),"BEARISH",""))</f>
        <v/>
      </c>
      <c r="C4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8" s="138" t="str">
        <f>IF(Option_Chain_Data[[#This Row],[Call.changeinOpenInterest]]&gt;0,"UP",IF(Option_Chain_Data[[#This Row],[Call.changeinOpenInterest]]&lt;0,"DOWN",""))</f>
        <v/>
      </c>
      <c r="E48" s="138" t="str">
        <f>IF(Option_Chain_Data[[#This Row],[CAll.change]]&gt;0,"UP",IF(Option_Chain_Data[[#This Row],[CAll.change]]&lt;0,"DOWN",""))</f>
        <v>UP</v>
      </c>
      <c r="F48" s="144">
        <v>124</v>
      </c>
      <c r="G48" s="144">
        <v>0</v>
      </c>
      <c r="H48" s="139">
        <v>2</v>
      </c>
      <c r="I48" s="139">
        <v>117.24</v>
      </c>
      <c r="J48" s="144">
        <v>1565.4</v>
      </c>
      <c r="K48" s="144">
        <v>189.45000000000005</v>
      </c>
      <c r="L48" s="140">
        <v>16700</v>
      </c>
      <c r="M48" s="144">
        <v>-4.9999999999999933E-2</v>
      </c>
      <c r="N48" s="144">
        <v>0.65</v>
      </c>
      <c r="O48" s="139">
        <v>62.86</v>
      </c>
      <c r="P48" s="139">
        <v>2733</v>
      </c>
      <c r="Q48" s="144">
        <v>-358</v>
      </c>
      <c r="R48" s="144">
        <v>5496</v>
      </c>
      <c r="S48" s="139">
        <v>18222.349999999999</v>
      </c>
      <c r="T48" s="138" t="str">
        <f>IF(Option_Chain_Data[[#This Row],[PUT.change]]&gt;0,"UP",IF(Option_Chain_Data[[#This Row],[PUT.change]]&lt;0,"DOWN",""))</f>
        <v>DOWN</v>
      </c>
      <c r="U48" s="138" t="str">
        <f>IF(Option_Chain_Data[[#This Row],[PUT.changeinOpenInterest]]&gt;0,"UP",IF(Option_Chain_Data[[#This Row],[PUT.changeinOpenInterest]]&lt;0,"DOWN",""))</f>
        <v>DOWN</v>
      </c>
      <c r="V4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48" s="138" t="str">
        <f>IF(OR(Option_Chain_Data[[#This Row],[InterPretation2]]="Long Build UP",Option_Chain_Data[[#This Row],[InterPretation2]]="Short Covering"),"BULLISH",IF(OR(Option_Chain_Data[[#This Row],[InterPretation2]]="Long Liquidation",Option_Chain_Data[[#This Row],[InterPretation2]]="Short Build UP"),"BEARISH",""))</f>
        <v>BEARISH</v>
      </c>
    </row>
    <row r="49" spans="1:23" ht="19.8" x14ac:dyDescent="0.4">
      <c r="A49" s="143" t="s">
        <v>123</v>
      </c>
      <c r="B49" s="138" t="str">
        <f>IF(OR(Option_Chain_Data[[#This Row],[InterPretation]]="Long Build UP",Option_Chain_Data[[#This Row],[InterPretation]]="Short Covering"),"BULLISH",IF(OR(Option_Chain_Data[[#This Row],[InterPretation]]="LongLiquidation",Option_Chain_Data[[#This Row],[InterPretation]]="Short Build UP"),"BEARISH",""))</f>
        <v/>
      </c>
      <c r="C4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49" s="138" t="str">
        <f>IF(Option_Chain_Data[[#This Row],[Call.changeinOpenInterest]]&gt;0,"UP",IF(Option_Chain_Data[[#This Row],[Call.changeinOpenInterest]]&lt;0,"DOWN",""))</f>
        <v/>
      </c>
      <c r="E49" s="138" t="str">
        <f>IF(Option_Chain_Data[[#This Row],[CAll.change]]&gt;0,"UP",IF(Option_Chain_Data[[#This Row],[CAll.change]]&lt;0,"DOWN",""))</f>
        <v/>
      </c>
      <c r="F49" s="144">
        <v>22</v>
      </c>
      <c r="G49" s="144">
        <v>0</v>
      </c>
      <c r="H49" s="139">
        <v>0</v>
      </c>
      <c r="I49" s="139">
        <v>0</v>
      </c>
      <c r="J49" s="144">
        <v>0</v>
      </c>
      <c r="K49" s="144">
        <v>0</v>
      </c>
      <c r="L49" s="140">
        <v>16750</v>
      </c>
      <c r="M49" s="144">
        <v>-0.10000000000000007</v>
      </c>
      <c r="N49" s="144">
        <v>0.7</v>
      </c>
      <c r="O49" s="139">
        <v>60.57</v>
      </c>
      <c r="P49" s="139">
        <v>1195</v>
      </c>
      <c r="Q49" s="144">
        <v>-679</v>
      </c>
      <c r="R49" s="144">
        <v>3436</v>
      </c>
      <c r="S49" s="139">
        <v>18227.5</v>
      </c>
      <c r="T49" s="138" t="str">
        <f>IF(Option_Chain_Data[[#This Row],[PUT.change]]&gt;0,"UP",IF(Option_Chain_Data[[#This Row],[PUT.change]]&lt;0,"DOWN",""))</f>
        <v>DOWN</v>
      </c>
      <c r="U49" s="138" t="str">
        <f>IF(Option_Chain_Data[[#This Row],[PUT.changeinOpenInterest]]&gt;0,"UP",IF(Option_Chain_Data[[#This Row],[PUT.changeinOpenInterest]]&lt;0,"DOWN",""))</f>
        <v>DOWN</v>
      </c>
      <c r="V4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49" s="138" t="str">
        <f>IF(OR(Option_Chain_Data[[#This Row],[InterPretation2]]="Long Build UP",Option_Chain_Data[[#This Row],[InterPretation2]]="Short Covering"),"BULLISH",IF(OR(Option_Chain_Data[[#This Row],[InterPretation2]]="Long Liquidation",Option_Chain_Data[[#This Row],[InterPretation2]]="Short Build UP"),"BEARISH",""))</f>
        <v>BEARISH</v>
      </c>
    </row>
    <row r="50" spans="1:23" ht="19.8" x14ac:dyDescent="0.4">
      <c r="A50" s="143" t="s">
        <v>123</v>
      </c>
      <c r="B50" s="138" t="str">
        <f>IF(OR(Option_Chain_Data[[#This Row],[InterPretation]]="Long Build UP",Option_Chain_Data[[#This Row],[InterPretation]]="Short Covering"),"BULLISH",IF(OR(Option_Chain_Data[[#This Row],[InterPretation]]="LongLiquidation",Option_Chain_Data[[#This Row],[InterPretation]]="Short Build UP"),"BEARISH",""))</f>
        <v/>
      </c>
      <c r="C5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50" s="138" t="str">
        <f>IF(Option_Chain_Data[[#This Row],[Call.changeinOpenInterest]]&gt;0,"UP",IF(Option_Chain_Data[[#This Row],[Call.changeinOpenInterest]]&lt;0,"DOWN",""))</f>
        <v/>
      </c>
      <c r="E50" s="138" t="str">
        <f>IF(Option_Chain_Data[[#This Row],[CAll.change]]&gt;0,"UP",IF(Option_Chain_Data[[#This Row],[CAll.change]]&lt;0,"DOWN",""))</f>
        <v>UP</v>
      </c>
      <c r="F50" s="144">
        <v>160</v>
      </c>
      <c r="G50" s="144">
        <v>0</v>
      </c>
      <c r="H50" s="139">
        <v>4</v>
      </c>
      <c r="I50" s="139">
        <v>86.88</v>
      </c>
      <c r="J50" s="144">
        <v>1440</v>
      </c>
      <c r="K50" s="144">
        <v>26.650000000000091</v>
      </c>
      <c r="L50" s="140">
        <v>16800</v>
      </c>
      <c r="M50" s="144">
        <v>0</v>
      </c>
      <c r="N50" s="144">
        <v>0.75</v>
      </c>
      <c r="O50" s="139">
        <v>59.54</v>
      </c>
      <c r="P50" s="139">
        <v>6095</v>
      </c>
      <c r="Q50" s="144">
        <v>-1365</v>
      </c>
      <c r="R50" s="144">
        <v>9315</v>
      </c>
      <c r="S50" s="139">
        <v>18227.5</v>
      </c>
      <c r="T50" s="138" t="str">
        <f>IF(Option_Chain_Data[[#This Row],[PUT.change]]&gt;0,"UP",IF(Option_Chain_Data[[#This Row],[PUT.change]]&lt;0,"DOWN",""))</f>
        <v/>
      </c>
      <c r="U50" s="138" t="str">
        <f>IF(Option_Chain_Data[[#This Row],[PUT.changeinOpenInterest]]&gt;0,"UP",IF(Option_Chain_Data[[#This Row],[PUT.changeinOpenInterest]]&lt;0,"DOWN",""))</f>
        <v>DOWN</v>
      </c>
      <c r="V5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50" s="138" t="str">
        <f>IF(OR(Option_Chain_Data[[#This Row],[InterPretation2]]="Long Build UP",Option_Chain_Data[[#This Row],[InterPretation2]]="Short Covering"),"BULLISH",IF(OR(Option_Chain_Data[[#This Row],[InterPretation2]]="Long Liquidation",Option_Chain_Data[[#This Row],[InterPretation2]]="Short Build UP"),"BEARISH",""))</f>
        <v/>
      </c>
    </row>
    <row r="51" spans="1:23" ht="19.8" x14ac:dyDescent="0.4">
      <c r="A51" s="143" t="s">
        <v>123</v>
      </c>
      <c r="B51" s="138" t="str">
        <f>IF(OR(Option_Chain_Data[[#This Row],[InterPretation]]="Long Build UP",Option_Chain_Data[[#This Row],[InterPretation]]="Short Covering"),"BULLISH",IF(OR(Option_Chain_Data[[#This Row],[InterPretation]]="LongLiquidation",Option_Chain_Data[[#This Row],[InterPretation]]="Short Build UP"),"BEARISH",""))</f>
        <v/>
      </c>
      <c r="C5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51" s="138" t="str">
        <f>IF(Option_Chain_Data[[#This Row],[Call.changeinOpenInterest]]&gt;0,"UP",IF(Option_Chain_Data[[#This Row],[Call.changeinOpenInterest]]&lt;0,"DOWN",""))</f>
        <v/>
      </c>
      <c r="E51" s="138" t="str">
        <f>IF(Option_Chain_Data[[#This Row],[CAll.change]]&gt;0,"UP",IF(Option_Chain_Data[[#This Row],[CAll.change]]&lt;0,"DOWN",""))</f>
        <v/>
      </c>
      <c r="F51" s="139">
        <v>20</v>
      </c>
      <c r="G51" s="139">
        <v>0</v>
      </c>
      <c r="H51" s="139">
        <v>0</v>
      </c>
      <c r="I51" s="139">
        <v>0</v>
      </c>
      <c r="J51" s="139">
        <v>0</v>
      </c>
      <c r="K51" s="139">
        <v>0</v>
      </c>
      <c r="L51" s="140">
        <v>16850</v>
      </c>
      <c r="M51" s="139">
        <v>-9.9999999999999978E-2</v>
      </c>
      <c r="N51" s="139">
        <v>0.8</v>
      </c>
      <c r="O51" s="139">
        <v>58.37</v>
      </c>
      <c r="P51" s="139">
        <v>435</v>
      </c>
      <c r="Q51" s="139">
        <v>-32</v>
      </c>
      <c r="R51" s="139">
        <v>3377</v>
      </c>
      <c r="S51" s="139">
        <v>18227.5</v>
      </c>
      <c r="T51" s="138" t="str">
        <f>IF(Option_Chain_Data[[#This Row],[PUT.change]]&gt;0,"UP",IF(Option_Chain_Data[[#This Row],[PUT.change]]&lt;0,"DOWN",""))</f>
        <v>DOWN</v>
      </c>
      <c r="U51" s="138" t="str">
        <f>IF(Option_Chain_Data[[#This Row],[PUT.changeinOpenInterest]]&gt;0,"UP",IF(Option_Chain_Data[[#This Row],[PUT.changeinOpenInterest]]&lt;0,"DOWN",""))</f>
        <v>DOWN</v>
      </c>
      <c r="V5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51" s="138" t="str">
        <f>IF(OR(Option_Chain_Data[[#This Row],[InterPretation2]]="Long Build UP",Option_Chain_Data[[#This Row],[InterPretation2]]="Short Covering"),"BULLISH",IF(OR(Option_Chain_Data[[#This Row],[InterPretation2]]="Long Liquidation",Option_Chain_Data[[#This Row],[InterPretation2]]="Short Build UP"),"BEARISH",""))</f>
        <v>BEARISH</v>
      </c>
    </row>
    <row r="52" spans="1:23" ht="19.8" x14ac:dyDescent="0.4">
      <c r="A52" s="143" t="s">
        <v>123</v>
      </c>
      <c r="B52" s="138" t="str">
        <f>IF(OR(Option_Chain_Data[[#This Row],[InterPretation]]="Long Build UP",Option_Chain_Data[[#This Row],[InterPretation]]="Short Covering"),"BULLISH",IF(OR(Option_Chain_Data[[#This Row],[InterPretation]]="LongLiquidation",Option_Chain_Data[[#This Row],[InterPretation]]="Short Build UP"),"BEARISH",""))</f>
        <v/>
      </c>
      <c r="C5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52" s="138" t="str">
        <f>IF(Option_Chain_Data[[#This Row],[Call.changeinOpenInterest]]&gt;0,"UP",IF(Option_Chain_Data[[#This Row],[Call.changeinOpenInterest]]&lt;0,"DOWN",""))</f>
        <v/>
      </c>
      <c r="E52" s="138" t="str">
        <f>IF(Option_Chain_Data[[#This Row],[CAll.change]]&gt;0,"UP",IF(Option_Chain_Data[[#This Row],[CAll.change]]&lt;0,"DOWN",""))</f>
        <v/>
      </c>
      <c r="F52" s="144">
        <v>79</v>
      </c>
      <c r="G52" s="144">
        <v>0</v>
      </c>
      <c r="H52" s="139">
        <v>0</v>
      </c>
      <c r="I52" s="139">
        <v>0</v>
      </c>
      <c r="J52" s="144">
        <v>0</v>
      </c>
      <c r="K52" s="144">
        <v>0</v>
      </c>
      <c r="L52" s="140">
        <v>16900</v>
      </c>
      <c r="M52" s="144">
        <v>0</v>
      </c>
      <c r="N52" s="144">
        <v>0.85</v>
      </c>
      <c r="O52" s="139">
        <v>56.4</v>
      </c>
      <c r="P52" s="139">
        <v>13195</v>
      </c>
      <c r="Q52" s="144">
        <v>2851</v>
      </c>
      <c r="R52" s="144">
        <v>17245</v>
      </c>
      <c r="S52" s="139">
        <v>18227.5</v>
      </c>
      <c r="T52" s="138" t="str">
        <f>IF(Option_Chain_Data[[#This Row],[PUT.change]]&gt;0,"UP",IF(Option_Chain_Data[[#This Row],[PUT.change]]&lt;0,"DOWN",""))</f>
        <v/>
      </c>
      <c r="U52" s="138" t="str">
        <f>IF(Option_Chain_Data[[#This Row],[PUT.changeinOpenInterest]]&gt;0,"UP",IF(Option_Chain_Data[[#This Row],[PUT.changeinOpenInterest]]&lt;0,"DOWN",""))</f>
        <v>UP</v>
      </c>
      <c r="V5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52" s="138" t="str">
        <f>IF(OR(Option_Chain_Data[[#This Row],[InterPretation2]]="Long Build UP",Option_Chain_Data[[#This Row],[InterPretation2]]="Short Covering"),"BULLISH",IF(OR(Option_Chain_Data[[#This Row],[InterPretation2]]="Long Liquidation",Option_Chain_Data[[#This Row],[InterPretation2]]="Short Build UP"),"BEARISH",""))</f>
        <v/>
      </c>
    </row>
    <row r="53" spans="1:23" ht="19.8" x14ac:dyDescent="0.4">
      <c r="A53" s="143" t="s">
        <v>123</v>
      </c>
      <c r="B53" s="138" t="str">
        <f>IF(OR(Option_Chain_Data[[#This Row],[InterPretation]]="Long Build UP",Option_Chain_Data[[#This Row],[InterPretation]]="Short Covering"),"BULLISH",IF(OR(Option_Chain_Data[[#This Row],[InterPretation]]="LongLiquidation",Option_Chain_Data[[#This Row],[InterPretation]]="Short Build UP"),"BEARISH",""))</f>
        <v/>
      </c>
      <c r="C5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53" s="138" t="str">
        <f>IF(Option_Chain_Data[[#This Row],[Call.changeinOpenInterest]]&gt;0,"UP",IF(Option_Chain_Data[[#This Row],[Call.changeinOpenInterest]]&lt;0,"DOWN",""))</f>
        <v/>
      </c>
      <c r="E53" s="138" t="str">
        <f>IF(Option_Chain_Data[[#This Row],[CAll.change]]&gt;0,"UP",IF(Option_Chain_Data[[#This Row],[CAll.change]]&lt;0,"DOWN",""))</f>
        <v/>
      </c>
      <c r="F53" s="144">
        <v>4</v>
      </c>
      <c r="G53" s="144">
        <v>0</v>
      </c>
      <c r="H53" s="139">
        <v>0</v>
      </c>
      <c r="I53" s="139">
        <v>0</v>
      </c>
      <c r="J53" s="144">
        <v>0</v>
      </c>
      <c r="K53" s="144">
        <v>0</v>
      </c>
      <c r="L53" s="140">
        <v>16950</v>
      </c>
      <c r="M53" s="144">
        <v>-0.20000000000000007</v>
      </c>
      <c r="N53" s="144">
        <v>0.85</v>
      </c>
      <c r="O53" s="139">
        <v>54.43</v>
      </c>
      <c r="P53" s="139">
        <v>6084</v>
      </c>
      <c r="Q53" s="144">
        <v>-195</v>
      </c>
      <c r="R53" s="144">
        <v>7785</v>
      </c>
      <c r="S53" s="139">
        <v>18227.5</v>
      </c>
      <c r="T53" s="138" t="str">
        <f>IF(Option_Chain_Data[[#This Row],[PUT.change]]&gt;0,"UP",IF(Option_Chain_Data[[#This Row],[PUT.change]]&lt;0,"DOWN",""))</f>
        <v>DOWN</v>
      </c>
      <c r="U53" s="138" t="str">
        <f>IF(Option_Chain_Data[[#This Row],[PUT.changeinOpenInterest]]&gt;0,"UP",IF(Option_Chain_Data[[#This Row],[PUT.changeinOpenInterest]]&lt;0,"DOWN",""))</f>
        <v>DOWN</v>
      </c>
      <c r="V5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53" s="138" t="str">
        <f>IF(OR(Option_Chain_Data[[#This Row],[InterPretation2]]="Long Build UP",Option_Chain_Data[[#This Row],[InterPretation2]]="Short Covering"),"BULLISH",IF(OR(Option_Chain_Data[[#This Row],[InterPretation2]]="Long Liquidation",Option_Chain_Data[[#This Row],[InterPretation2]]="Short Build UP"),"BEARISH",""))</f>
        <v>BEARISH</v>
      </c>
    </row>
    <row r="54" spans="1:23" ht="19.8" x14ac:dyDescent="0.4">
      <c r="A54" s="143" t="s">
        <v>123</v>
      </c>
      <c r="B54" s="138" t="str">
        <f>IF(OR(Option_Chain_Data[[#This Row],[InterPretation]]="Long Build UP",Option_Chain_Data[[#This Row],[InterPretation]]="Short Covering"),"BULLISH",IF(OR(Option_Chain_Data[[#This Row],[InterPretation]]="LongLiquidation",Option_Chain_Data[[#This Row],[InterPretation]]="Short Build UP"),"BEARISH",""))</f>
        <v>BULLISH</v>
      </c>
      <c r="C5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54" s="138" t="str">
        <f>IF(Option_Chain_Data[[#This Row],[Call.changeinOpenInterest]]&gt;0,"UP",IF(Option_Chain_Data[[#This Row],[Call.changeinOpenInterest]]&lt;0,"DOWN",""))</f>
        <v>DOWN</v>
      </c>
      <c r="E54" s="138" t="str">
        <f>IF(Option_Chain_Data[[#This Row],[CAll.change]]&gt;0,"UP",IF(Option_Chain_Data[[#This Row],[CAll.change]]&lt;0,"DOWN",""))</f>
        <v>UP</v>
      </c>
      <c r="F54" s="144">
        <v>804</v>
      </c>
      <c r="G54" s="144">
        <v>-28</v>
      </c>
      <c r="H54" s="139">
        <v>201</v>
      </c>
      <c r="I54" s="139">
        <v>71.22</v>
      </c>
      <c r="J54" s="144">
        <v>1233</v>
      </c>
      <c r="K54" s="144">
        <v>21.75</v>
      </c>
      <c r="L54" s="140">
        <v>17000</v>
      </c>
      <c r="M54" s="144">
        <v>-0.14999999999999991</v>
      </c>
      <c r="N54" s="144">
        <v>0.8</v>
      </c>
      <c r="O54" s="139">
        <v>52.11</v>
      </c>
      <c r="P54" s="139">
        <v>36314</v>
      </c>
      <c r="Q54" s="144">
        <v>-858</v>
      </c>
      <c r="R54" s="144">
        <v>58820</v>
      </c>
      <c r="S54" s="139">
        <v>18227.5</v>
      </c>
      <c r="T54" s="138" t="str">
        <f>IF(Option_Chain_Data[[#This Row],[PUT.change]]&gt;0,"UP",IF(Option_Chain_Data[[#This Row],[PUT.change]]&lt;0,"DOWN",""))</f>
        <v>DOWN</v>
      </c>
      <c r="U54" s="138" t="str">
        <f>IF(Option_Chain_Data[[#This Row],[PUT.changeinOpenInterest]]&gt;0,"UP",IF(Option_Chain_Data[[#This Row],[PUT.changeinOpenInterest]]&lt;0,"DOWN",""))</f>
        <v>DOWN</v>
      </c>
      <c r="V5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54" s="138" t="str">
        <f>IF(OR(Option_Chain_Data[[#This Row],[InterPretation2]]="Long Build UP",Option_Chain_Data[[#This Row],[InterPretation2]]="Short Covering"),"BULLISH",IF(OR(Option_Chain_Data[[#This Row],[InterPretation2]]="Long Liquidation",Option_Chain_Data[[#This Row],[InterPretation2]]="Short Build UP"),"BEARISH",""))</f>
        <v>BEARISH</v>
      </c>
    </row>
    <row r="55" spans="1:23" s="143" customFormat="1" ht="19.8" x14ac:dyDescent="0.4">
      <c r="A55" s="143" t="s">
        <v>123</v>
      </c>
      <c r="B55" s="138" t="str">
        <f>IF(OR(Option_Chain_Data[[#This Row],[InterPretation]]="Long Build UP",Option_Chain_Data[[#This Row],[InterPretation]]="Short Covering"),"BULLISH",IF(OR(Option_Chain_Data[[#This Row],[InterPretation]]="LongLiquidation",Option_Chain_Data[[#This Row],[InterPretation]]="Short Build UP"),"BEARISH",""))</f>
        <v/>
      </c>
      <c r="C5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55" s="138" t="str">
        <f>IF(Option_Chain_Data[[#This Row],[Call.changeinOpenInterest]]&gt;0,"UP",IF(Option_Chain_Data[[#This Row],[Call.changeinOpenInterest]]&lt;0,"DOWN",""))</f>
        <v/>
      </c>
      <c r="E55" s="138" t="str">
        <f>IF(Option_Chain_Data[[#This Row],[CAll.change]]&gt;0,"UP",IF(Option_Chain_Data[[#This Row],[CAll.change]]&lt;0,"DOWN",""))</f>
        <v>UP</v>
      </c>
      <c r="F55" s="144">
        <v>2</v>
      </c>
      <c r="G55" s="144">
        <v>0</v>
      </c>
      <c r="H55" s="139">
        <v>1</v>
      </c>
      <c r="I55" s="139">
        <v>0</v>
      </c>
      <c r="J55" s="144">
        <v>1223.4000000000001</v>
      </c>
      <c r="K55" s="144">
        <v>141.40000000000009</v>
      </c>
      <c r="L55" s="140">
        <v>17050</v>
      </c>
      <c r="M55" s="144">
        <v>-0.19999999999999996</v>
      </c>
      <c r="N55" s="144">
        <v>0.8</v>
      </c>
      <c r="O55" s="139">
        <v>49.79</v>
      </c>
      <c r="P55" s="139">
        <v>3641</v>
      </c>
      <c r="Q55" s="144">
        <v>407</v>
      </c>
      <c r="R55" s="144">
        <v>2129</v>
      </c>
      <c r="S55" s="139">
        <v>18227.5</v>
      </c>
      <c r="T55" s="138" t="str">
        <f>IF(Option_Chain_Data[[#This Row],[PUT.change]]&gt;0,"UP",IF(Option_Chain_Data[[#This Row],[PUT.change]]&lt;0,"DOWN",""))</f>
        <v>DOWN</v>
      </c>
      <c r="U55" s="138" t="str">
        <f>IF(Option_Chain_Data[[#This Row],[PUT.changeinOpenInterest]]&gt;0,"UP",IF(Option_Chain_Data[[#This Row],[PUT.changeinOpenInterest]]&lt;0,"DOWN",""))</f>
        <v>UP</v>
      </c>
      <c r="V5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55" s="138" t="str">
        <f>IF(OR(Option_Chain_Data[[#This Row],[InterPretation2]]="Long Build UP",Option_Chain_Data[[#This Row],[InterPretation2]]="Short Covering"),"BULLISH",IF(OR(Option_Chain_Data[[#This Row],[InterPretation2]]="Long Liquidation",Option_Chain_Data[[#This Row],[InterPretation2]]="Short Build UP"),"BEARISH",""))</f>
        <v>BEARISH</v>
      </c>
    </row>
    <row r="56" spans="1:23" ht="19.8" x14ac:dyDescent="0.4">
      <c r="A56" s="143" t="s">
        <v>123</v>
      </c>
      <c r="B56" s="138" t="str">
        <f>IF(OR(Option_Chain_Data[[#This Row],[InterPretation]]="Long Build UP",Option_Chain_Data[[#This Row],[InterPretation]]="Short Covering"),"BULLISH",IF(OR(Option_Chain_Data[[#This Row],[InterPretation]]="LongLiquidation",Option_Chain_Data[[#This Row],[InterPretation]]="Short Build UP"),"BEARISH",""))</f>
        <v/>
      </c>
      <c r="C5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56" s="138" t="str">
        <f>IF(Option_Chain_Data[[#This Row],[Call.changeinOpenInterest]]&gt;0,"UP",IF(Option_Chain_Data[[#This Row],[Call.changeinOpenInterest]]&lt;0,"DOWN",""))</f>
        <v/>
      </c>
      <c r="E56" s="138" t="str">
        <f>IF(Option_Chain_Data[[#This Row],[CAll.change]]&gt;0,"UP",IF(Option_Chain_Data[[#This Row],[CAll.change]]&lt;0,"DOWN",""))</f>
        <v>UP</v>
      </c>
      <c r="F56" s="144">
        <v>129</v>
      </c>
      <c r="G56" s="144">
        <v>0</v>
      </c>
      <c r="H56" s="139">
        <v>2</v>
      </c>
      <c r="I56" s="139">
        <v>0</v>
      </c>
      <c r="J56" s="144">
        <v>1132</v>
      </c>
      <c r="K56" s="144">
        <v>17.450000000000045</v>
      </c>
      <c r="L56" s="140">
        <v>17100</v>
      </c>
      <c r="M56" s="144">
        <v>-0.20000000000000007</v>
      </c>
      <c r="N56" s="144">
        <v>0.9</v>
      </c>
      <c r="O56" s="139">
        <v>48.83</v>
      </c>
      <c r="P56" s="139">
        <v>16034</v>
      </c>
      <c r="Q56" s="144">
        <v>3261</v>
      </c>
      <c r="R56" s="144">
        <v>13229</v>
      </c>
      <c r="S56" s="139">
        <v>18227.5</v>
      </c>
      <c r="T56" s="138" t="str">
        <f>IF(Option_Chain_Data[[#This Row],[PUT.change]]&gt;0,"UP",IF(Option_Chain_Data[[#This Row],[PUT.change]]&lt;0,"DOWN",""))</f>
        <v>DOWN</v>
      </c>
      <c r="U56" s="138" t="str">
        <f>IF(Option_Chain_Data[[#This Row],[PUT.changeinOpenInterest]]&gt;0,"UP",IF(Option_Chain_Data[[#This Row],[PUT.changeinOpenInterest]]&lt;0,"DOWN",""))</f>
        <v>UP</v>
      </c>
      <c r="V5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56" s="138" t="str">
        <f>IF(OR(Option_Chain_Data[[#This Row],[InterPretation2]]="Long Build UP",Option_Chain_Data[[#This Row],[InterPretation2]]="Short Covering"),"BULLISH",IF(OR(Option_Chain_Data[[#This Row],[InterPretation2]]="Long Liquidation",Option_Chain_Data[[#This Row],[InterPretation2]]="Short Build UP"),"BEARISH",""))</f>
        <v>BEARISH</v>
      </c>
    </row>
    <row r="57" spans="1:23" ht="19.8" x14ac:dyDescent="0.4">
      <c r="A57" s="143" t="s">
        <v>123</v>
      </c>
      <c r="B57" s="138" t="str">
        <f>IF(OR(Option_Chain_Data[[#This Row],[InterPretation]]="Long Build UP",Option_Chain_Data[[#This Row],[InterPretation]]="Short Covering"),"BULLISH",IF(OR(Option_Chain_Data[[#This Row],[InterPretation]]="LongLiquidation",Option_Chain_Data[[#This Row],[InterPretation]]="Short Build UP"),"BEARISH",""))</f>
        <v/>
      </c>
      <c r="C5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57" s="138" t="str">
        <f>IF(Option_Chain_Data[[#This Row],[Call.changeinOpenInterest]]&gt;0,"UP",IF(Option_Chain_Data[[#This Row],[Call.changeinOpenInterest]]&lt;0,"DOWN",""))</f>
        <v/>
      </c>
      <c r="E57" s="138" t="str">
        <f>IF(Option_Chain_Data[[#This Row],[CAll.change]]&gt;0,"UP",IF(Option_Chain_Data[[#This Row],[CAll.change]]&lt;0,"DOWN",""))</f>
        <v/>
      </c>
      <c r="F57" s="144">
        <v>44</v>
      </c>
      <c r="G57" s="144">
        <v>0</v>
      </c>
      <c r="H57" s="139">
        <v>0</v>
      </c>
      <c r="I57" s="139">
        <v>0</v>
      </c>
      <c r="J57" s="144">
        <v>0</v>
      </c>
      <c r="K57" s="144">
        <v>0</v>
      </c>
      <c r="L57" s="140">
        <v>17150</v>
      </c>
      <c r="M57" s="144">
        <v>-0.25000000000000011</v>
      </c>
      <c r="N57" s="144">
        <v>0.85</v>
      </c>
      <c r="O57" s="139">
        <v>46.09</v>
      </c>
      <c r="P57" s="139">
        <v>5049</v>
      </c>
      <c r="Q57" s="144">
        <v>302</v>
      </c>
      <c r="R57" s="144">
        <v>2690</v>
      </c>
      <c r="S57" s="139">
        <v>18222.349999999999</v>
      </c>
      <c r="T57" s="138" t="str">
        <f>IF(Option_Chain_Data[[#This Row],[PUT.change]]&gt;0,"UP",IF(Option_Chain_Data[[#This Row],[PUT.change]]&lt;0,"DOWN",""))</f>
        <v>DOWN</v>
      </c>
      <c r="U57" s="138" t="str">
        <f>IF(Option_Chain_Data[[#This Row],[PUT.changeinOpenInterest]]&gt;0,"UP",IF(Option_Chain_Data[[#This Row],[PUT.changeinOpenInterest]]&lt;0,"DOWN",""))</f>
        <v>UP</v>
      </c>
      <c r="V5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57" s="138" t="str">
        <f>IF(OR(Option_Chain_Data[[#This Row],[InterPretation2]]="Long Build UP",Option_Chain_Data[[#This Row],[InterPretation2]]="Short Covering"),"BULLISH",IF(OR(Option_Chain_Data[[#This Row],[InterPretation2]]="Long Liquidation",Option_Chain_Data[[#This Row],[InterPretation2]]="Short Build UP"),"BEARISH",""))</f>
        <v>BEARISH</v>
      </c>
    </row>
    <row r="58" spans="1:23" ht="19.8" x14ac:dyDescent="0.4">
      <c r="A58" s="143" t="s">
        <v>123</v>
      </c>
      <c r="B58" s="138" t="str">
        <f>IF(OR(Option_Chain_Data[[#This Row],[InterPretation]]="Long Build UP",Option_Chain_Data[[#This Row],[InterPretation]]="Short Covering"),"BULLISH",IF(OR(Option_Chain_Data[[#This Row],[InterPretation]]="LongLiquidation",Option_Chain_Data[[#This Row],[InterPretation]]="Short Build UP"),"BEARISH",""))</f>
        <v>BULLISH</v>
      </c>
      <c r="C5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58" s="138" t="str">
        <f>IF(Option_Chain_Data[[#This Row],[Call.changeinOpenInterest]]&gt;0,"UP",IF(Option_Chain_Data[[#This Row],[Call.changeinOpenInterest]]&lt;0,"DOWN",""))</f>
        <v>DOWN</v>
      </c>
      <c r="E58" s="138" t="str">
        <f>IF(Option_Chain_Data[[#This Row],[CAll.change]]&gt;0,"UP",IF(Option_Chain_Data[[#This Row],[CAll.change]]&lt;0,"DOWN",""))</f>
        <v>UP</v>
      </c>
      <c r="F58" s="144">
        <v>303</v>
      </c>
      <c r="G58" s="144">
        <v>-11</v>
      </c>
      <c r="H58" s="139">
        <v>97</v>
      </c>
      <c r="I58" s="139">
        <v>81.709999999999994</v>
      </c>
      <c r="J58" s="144">
        <v>1055.8499999999999</v>
      </c>
      <c r="K58" s="144">
        <v>40.899999999999864</v>
      </c>
      <c r="L58" s="140">
        <v>17200</v>
      </c>
      <c r="M58" s="144">
        <v>-0.24999999999999989</v>
      </c>
      <c r="N58" s="144">
        <v>0.9</v>
      </c>
      <c r="O58" s="139">
        <v>45.13</v>
      </c>
      <c r="P58" s="139">
        <v>20020</v>
      </c>
      <c r="Q58" s="144">
        <v>-203</v>
      </c>
      <c r="R58" s="144">
        <v>28836</v>
      </c>
      <c r="S58" s="139">
        <v>18227.5</v>
      </c>
      <c r="T58" s="138" t="str">
        <f>IF(Option_Chain_Data[[#This Row],[PUT.change]]&gt;0,"UP",IF(Option_Chain_Data[[#This Row],[PUT.change]]&lt;0,"DOWN",""))</f>
        <v>DOWN</v>
      </c>
      <c r="U58" s="138" t="str">
        <f>IF(Option_Chain_Data[[#This Row],[PUT.changeinOpenInterest]]&gt;0,"UP",IF(Option_Chain_Data[[#This Row],[PUT.changeinOpenInterest]]&lt;0,"DOWN",""))</f>
        <v>DOWN</v>
      </c>
      <c r="V5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58" s="138" t="str">
        <f>IF(OR(Option_Chain_Data[[#This Row],[InterPretation2]]="Long Build UP",Option_Chain_Data[[#This Row],[InterPretation2]]="Short Covering"),"BULLISH",IF(OR(Option_Chain_Data[[#This Row],[InterPretation2]]="Long Liquidation",Option_Chain_Data[[#This Row],[InterPretation2]]="Short Build UP"),"BEARISH",""))</f>
        <v>BEARISH</v>
      </c>
    </row>
    <row r="59" spans="1:23" ht="19.8" x14ac:dyDescent="0.4">
      <c r="A59" s="143" t="s">
        <v>123</v>
      </c>
      <c r="B59" s="138" t="str">
        <f>IF(OR(Option_Chain_Data[[#This Row],[InterPretation]]="Long Build UP",Option_Chain_Data[[#This Row],[InterPretation]]="Short Covering"),"BULLISH",IF(OR(Option_Chain_Data[[#This Row],[InterPretation]]="LongLiquidation",Option_Chain_Data[[#This Row],[InterPretation]]="Short Build UP"),"BEARISH",""))</f>
        <v/>
      </c>
      <c r="C5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59" s="138" t="str">
        <f>IF(Option_Chain_Data[[#This Row],[Call.changeinOpenInterest]]&gt;0,"UP",IF(Option_Chain_Data[[#This Row],[Call.changeinOpenInterest]]&lt;0,"DOWN",""))</f>
        <v/>
      </c>
      <c r="E59" s="138" t="str">
        <f>IF(Option_Chain_Data[[#This Row],[CAll.change]]&gt;0,"UP",IF(Option_Chain_Data[[#This Row],[CAll.change]]&lt;0,"DOWN",""))</f>
        <v>UP</v>
      </c>
      <c r="F59" s="144">
        <v>73</v>
      </c>
      <c r="G59" s="144">
        <v>0</v>
      </c>
      <c r="H59" s="139">
        <v>12</v>
      </c>
      <c r="I59" s="139">
        <v>75.63</v>
      </c>
      <c r="J59" s="144">
        <v>1001.5</v>
      </c>
      <c r="K59" s="144">
        <v>41.450000000000045</v>
      </c>
      <c r="L59" s="140">
        <v>17250</v>
      </c>
      <c r="M59" s="144">
        <v>-0.19999999999999996</v>
      </c>
      <c r="N59" s="144">
        <v>0.95</v>
      </c>
      <c r="O59" s="139">
        <v>42.73</v>
      </c>
      <c r="P59" s="139">
        <v>6530</v>
      </c>
      <c r="Q59" s="144">
        <v>-105</v>
      </c>
      <c r="R59" s="144">
        <v>4797</v>
      </c>
      <c r="S59" s="139">
        <v>18222.349999999999</v>
      </c>
      <c r="T59" s="138" t="str">
        <f>IF(Option_Chain_Data[[#This Row],[PUT.change]]&gt;0,"UP",IF(Option_Chain_Data[[#This Row],[PUT.change]]&lt;0,"DOWN",""))</f>
        <v>DOWN</v>
      </c>
      <c r="U59" s="138" t="str">
        <f>IF(Option_Chain_Data[[#This Row],[PUT.changeinOpenInterest]]&gt;0,"UP",IF(Option_Chain_Data[[#This Row],[PUT.changeinOpenInterest]]&lt;0,"DOWN",""))</f>
        <v>DOWN</v>
      </c>
      <c r="V5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59" s="138" t="str">
        <f>IF(OR(Option_Chain_Data[[#This Row],[InterPretation2]]="Long Build UP",Option_Chain_Data[[#This Row],[InterPretation2]]="Short Covering"),"BULLISH",IF(OR(Option_Chain_Data[[#This Row],[InterPretation2]]="Long Liquidation",Option_Chain_Data[[#This Row],[InterPretation2]]="Short Build UP"),"BEARISH",""))</f>
        <v>BEARISH</v>
      </c>
    </row>
    <row r="60" spans="1:23" ht="19.8" x14ac:dyDescent="0.4">
      <c r="A60" s="143" t="s">
        <v>123</v>
      </c>
      <c r="B60" s="138" t="str">
        <f>IF(OR(Option_Chain_Data[[#This Row],[InterPretation]]="Long Build UP",Option_Chain_Data[[#This Row],[InterPretation]]="Short Covering"),"BULLISH",IF(OR(Option_Chain_Data[[#This Row],[InterPretation]]="LongLiquidation",Option_Chain_Data[[#This Row],[InterPretation]]="Short Build UP"),"BEARISH",""))</f>
        <v>BULLISH</v>
      </c>
      <c r="C6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60" s="138" t="str">
        <f>IF(Option_Chain_Data[[#This Row],[Call.changeinOpenInterest]]&gt;0,"UP",IF(Option_Chain_Data[[#This Row],[Call.changeinOpenInterest]]&lt;0,"DOWN",""))</f>
        <v>DOWN</v>
      </c>
      <c r="E60" s="138" t="str">
        <f>IF(Option_Chain_Data[[#This Row],[CAll.change]]&gt;0,"UP",IF(Option_Chain_Data[[#This Row],[CAll.change]]&lt;0,"DOWN",""))</f>
        <v>UP</v>
      </c>
      <c r="F60" s="144">
        <v>691</v>
      </c>
      <c r="G60" s="144">
        <v>-59</v>
      </c>
      <c r="H60" s="139">
        <v>106</v>
      </c>
      <c r="I60" s="139">
        <v>0</v>
      </c>
      <c r="J60" s="144">
        <v>924</v>
      </c>
      <c r="K60" s="144">
        <v>10.450000000000044</v>
      </c>
      <c r="L60" s="140">
        <v>17300</v>
      </c>
      <c r="M60" s="144">
        <v>-0.25</v>
      </c>
      <c r="N60" s="144">
        <v>1</v>
      </c>
      <c r="O60" s="139">
        <v>41.62</v>
      </c>
      <c r="P60" s="139">
        <v>30048</v>
      </c>
      <c r="Q60" s="144">
        <v>-1857</v>
      </c>
      <c r="R60" s="144">
        <v>23812</v>
      </c>
      <c r="S60" s="139">
        <v>18227.5</v>
      </c>
      <c r="T60" s="138" t="str">
        <f>IF(Option_Chain_Data[[#This Row],[PUT.change]]&gt;0,"UP",IF(Option_Chain_Data[[#This Row],[PUT.change]]&lt;0,"DOWN",""))</f>
        <v>DOWN</v>
      </c>
      <c r="U60" s="138" t="str">
        <f>IF(Option_Chain_Data[[#This Row],[PUT.changeinOpenInterest]]&gt;0,"UP",IF(Option_Chain_Data[[#This Row],[PUT.changeinOpenInterest]]&lt;0,"DOWN",""))</f>
        <v>DOWN</v>
      </c>
      <c r="V6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60" s="138" t="str">
        <f>IF(OR(Option_Chain_Data[[#This Row],[InterPretation2]]="Long Build UP",Option_Chain_Data[[#This Row],[InterPretation2]]="Short Covering"),"BULLISH",IF(OR(Option_Chain_Data[[#This Row],[InterPretation2]]="Long Liquidation",Option_Chain_Data[[#This Row],[InterPretation2]]="Short Build UP"),"BEARISH",""))</f>
        <v>BEARISH</v>
      </c>
    </row>
    <row r="61" spans="1:23" s="143" customFormat="1" ht="19.8" x14ac:dyDescent="0.4">
      <c r="A61" s="143" t="s">
        <v>123</v>
      </c>
      <c r="B61" s="138" t="str">
        <f>IF(OR(Option_Chain_Data[[#This Row],[InterPretation]]="Long Build UP",Option_Chain_Data[[#This Row],[InterPretation]]="Short Covering"),"BULLISH",IF(OR(Option_Chain_Data[[#This Row],[InterPretation]]="LongLiquidation",Option_Chain_Data[[#This Row],[InterPretation]]="Short Build UP"),"BEARISH",""))</f>
        <v/>
      </c>
      <c r="C6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61" s="138" t="str">
        <f>IF(Option_Chain_Data[[#This Row],[Call.changeinOpenInterest]]&gt;0,"UP",IF(Option_Chain_Data[[#This Row],[Call.changeinOpenInterest]]&lt;0,"DOWN",""))</f>
        <v/>
      </c>
      <c r="E61" s="138" t="str">
        <f>IF(Option_Chain_Data[[#This Row],[CAll.change]]&gt;0,"UP",IF(Option_Chain_Data[[#This Row],[CAll.change]]&lt;0,"DOWN",""))</f>
        <v/>
      </c>
      <c r="F61" s="144">
        <v>737</v>
      </c>
      <c r="G61" s="144">
        <v>0</v>
      </c>
      <c r="H61" s="139">
        <v>0</v>
      </c>
      <c r="I61" s="139">
        <v>0</v>
      </c>
      <c r="J61" s="144">
        <v>0</v>
      </c>
      <c r="K61" s="144">
        <v>0</v>
      </c>
      <c r="L61" s="140">
        <v>17350</v>
      </c>
      <c r="M61" s="144">
        <v>-0.35000000000000009</v>
      </c>
      <c r="N61" s="144">
        <v>1</v>
      </c>
      <c r="O61" s="139">
        <v>39.36</v>
      </c>
      <c r="P61" s="139">
        <v>6396</v>
      </c>
      <c r="Q61" s="144">
        <v>-338</v>
      </c>
      <c r="R61" s="144">
        <v>5279</v>
      </c>
      <c r="S61" s="139">
        <v>18227.5</v>
      </c>
      <c r="T61" s="138" t="str">
        <f>IF(Option_Chain_Data[[#This Row],[PUT.change]]&gt;0,"UP",IF(Option_Chain_Data[[#This Row],[PUT.change]]&lt;0,"DOWN",""))</f>
        <v>DOWN</v>
      </c>
      <c r="U61" s="138" t="str">
        <f>IF(Option_Chain_Data[[#This Row],[PUT.changeinOpenInterest]]&gt;0,"UP",IF(Option_Chain_Data[[#This Row],[PUT.changeinOpenInterest]]&lt;0,"DOWN",""))</f>
        <v>DOWN</v>
      </c>
      <c r="V6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61" s="138" t="str">
        <f>IF(OR(Option_Chain_Data[[#This Row],[InterPretation2]]="Long Build UP",Option_Chain_Data[[#This Row],[InterPretation2]]="Short Covering"),"BULLISH",IF(OR(Option_Chain_Data[[#This Row],[InterPretation2]]="Long Liquidation",Option_Chain_Data[[#This Row],[InterPretation2]]="Short Build UP"),"BEARISH",""))</f>
        <v>BEARISH</v>
      </c>
    </row>
    <row r="62" spans="1:23" ht="19.8" x14ac:dyDescent="0.4">
      <c r="A62" s="143" t="s">
        <v>123</v>
      </c>
      <c r="B62" s="138" t="str">
        <f>IF(OR(Option_Chain_Data[[#This Row],[InterPretation]]="Long Build UP",Option_Chain_Data[[#This Row],[InterPretation]]="Short Covering"),"BULLISH",IF(OR(Option_Chain_Data[[#This Row],[InterPretation]]="LongLiquidation",Option_Chain_Data[[#This Row],[InterPretation]]="Short Build UP"),"BEARISH",""))</f>
        <v>BULLISH</v>
      </c>
      <c r="C6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62" s="138" t="str">
        <f>IF(Option_Chain_Data[[#This Row],[Call.changeinOpenInterest]]&gt;0,"UP",IF(Option_Chain_Data[[#This Row],[Call.changeinOpenInterest]]&lt;0,"DOWN",""))</f>
        <v>DOWN</v>
      </c>
      <c r="E62" s="138" t="str">
        <f>IF(Option_Chain_Data[[#This Row],[CAll.change]]&gt;0,"UP",IF(Option_Chain_Data[[#This Row],[CAll.change]]&lt;0,"DOWN",""))</f>
        <v>UP</v>
      </c>
      <c r="F62" s="144">
        <v>1101</v>
      </c>
      <c r="G62" s="144">
        <v>-107</v>
      </c>
      <c r="H62" s="139">
        <v>432</v>
      </c>
      <c r="I62" s="139">
        <v>0</v>
      </c>
      <c r="J62" s="144">
        <v>832.5</v>
      </c>
      <c r="K62" s="144">
        <v>19.549999999999955</v>
      </c>
      <c r="L62" s="140">
        <v>17400</v>
      </c>
      <c r="M62" s="144">
        <v>-0.30000000000000004</v>
      </c>
      <c r="N62" s="144">
        <v>1.1499999999999999</v>
      </c>
      <c r="O62" s="139">
        <v>38.19</v>
      </c>
      <c r="P62" s="139">
        <v>49528</v>
      </c>
      <c r="Q62" s="144">
        <v>1657</v>
      </c>
      <c r="R62" s="144">
        <v>35142</v>
      </c>
      <c r="S62" s="139">
        <v>18227.5</v>
      </c>
      <c r="T62" s="138" t="str">
        <f>IF(Option_Chain_Data[[#This Row],[PUT.change]]&gt;0,"UP",IF(Option_Chain_Data[[#This Row],[PUT.change]]&lt;0,"DOWN",""))</f>
        <v>DOWN</v>
      </c>
      <c r="U62" s="138" t="str">
        <f>IF(Option_Chain_Data[[#This Row],[PUT.changeinOpenInterest]]&gt;0,"UP",IF(Option_Chain_Data[[#This Row],[PUT.changeinOpenInterest]]&lt;0,"DOWN",""))</f>
        <v>UP</v>
      </c>
      <c r="V6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62" s="138" t="str">
        <f>IF(OR(Option_Chain_Data[[#This Row],[InterPretation2]]="Long Build UP",Option_Chain_Data[[#This Row],[InterPretation2]]="Short Covering"),"BULLISH",IF(OR(Option_Chain_Data[[#This Row],[InterPretation2]]="Long Liquidation",Option_Chain_Data[[#This Row],[InterPretation2]]="Short Build UP"),"BEARISH",""))</f>
        <v>BEARISH</v>
      </c>
    </row>
    <row r="63" spans="1:23" s="143" customFormat="1" ht="19.8" x14ac:dyDescent="0.4">
      <c r="A63" s="143" t="s">
        <v>123</v>
      </c>
      <c r="B63" s="138" t="str">
        <f>IF(OR(Option_Chain_Data[[#This Row],[InterPretation]]="Long Build UP",Option_Chain_Data[[#This Row],[InterPretation]]="Short Covering"),"BULLISH",IF(OR(Option_Chain_Data[[#This Row],[InterPretation]]="LongLiquidation",Option_Chain_Data[[#This Row],[InterPretation]]="Short Build UP"),"BEARISH",""))</f>
        <v/>
      </c>
      <c r="C6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63" s="138" t="str">
        <f>IF(Option_Chain_Data[[#This Row],[Call.changeinOpenInterest]]&gt;0,"UP",IF(Option_Chain_Data[[#This Row],[Call.changeinOpenInterest]]&lt;0,"DOWN",""))</f>
        <v/>
      </c>
      <c r="E63" s="138" t="str">
        <f>IF(Option_Chain_Data[[#This Row],[CAll.change]]&gt;0,"UP",IF(Option_Chain_Data[[#This Row],[CAll.change]]&lt;0,"DOWN",""))</f>
        <v/>
      </c>
      <c r="F63" s="144">
        <v>157</v>
      </c>
      <c r="G63" s="144">
        <v>0</v>
      </c>
      <c r="H63" s="139">
        <v>0</v>
      </c>
      <c r="I63" s="139">
        <v>0</v>
      </c>
      <c r="J63" s="144">
        <v>0</v>
      </c>
      <c r="K63" s="144">
        <v>0</v>
      </c>
      <c r="L63" s="140">
        <v>17450</v>
      </c>
      <c r="M63" s="144">
        <v>-0.35000000000000009</v>
      </c>
      <c r="N63" s="144">
        <v>1.25</v>
      </c>
      <c r="O63" s="139">
        <v>36.5</v>
      </c>
      <c r="P63" s="139">
        <v>15019</v>
      </c>
      <c r="Q63" s="144">
        <v>-1946</v>
      </c>
      <c r="R63" s="144">
        <v>7826</v>
      </c>
      <c r="S63" s="139">
        <v>18227.5</v>
      </c>
      <c r="T63" s="138" t="str">
        <f>IF(Option_Chain_Data[[#This Row],[PUT.change]]&gt;0,"UP",IF(Option_Chain_Data[[#This Row],[PUT.change]]&lt;0,"DOWN",""))</f>
        <v>DOWN</v>
      </c>
      <c r="U63" s="138" t="str">
        <f>IF(Option_Chain_Data[[#This Row],[PUT.changeinOpenInterest]]&gt;0,"UP",IF(Option_Chain_Data[[#This Row],[PUT.changeinOpenInterest]]&lt;0,"DOWN",""))</f>
        <v>DOWN</v>
      </c>
      <c r="V6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63" s="138" t="str">
        <f>IF(OR(Option_Chain_Data[[#This Row],[InterPretation2]]="Long Build UP",Option_Chain_Data[[#This Row],[InterPretation2]]="Short Covering"),"BULLISH",IF(OR(Option_Chain_Data[[#This Row],[InterPretation2]]="Long Liquidation",Option_Chain_Data[[#This Row],[InterPretation2]]="Short Build UP"),"BEARISH",""))</f>
        <v>BEARISH</v>
      </c>
    </row>
    <row r="64" spans="1:23" ht="19.8" x14ac:dyDescent="0.4">
      <c r="A64" s="143" t="s">
        <v>123</v>
      </c>
      <c r="B64" s="138" t="str">
        <f>IF(OR(Option_Chain_Data[[#This Row],[InterPretation]]="Long Build UP",Option_Chain_Data[[#This Row],[InterPretation]]="Short Covering"),"BULLISH",IF(OR(Option_Chain_Data[[#This Row],[InterPretation]]="LongLiquidation",Option_Chain_Data[[#This Row],[InterPretation]]="Short Build UP"),"BEARISH",""))</f>
        <v>BULLISH</v>
      </c>
      <c r="C6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64" s="138" t="str">
        <f>IF(Option_Chain_Data[[#This Row],[Call.changeinOpenInterest]]&gt;0,"UP",IF(Option_Chain_Data[[#This Row],[Call.changeinOpenInterest]]&lt;0,"DOWN",""))</f>
        <v>DOWN</v>
      </c>
      <c r="E64" s="138" t="str">
        <f>IF(Option_Chain_Data[[#This Row],[CAll.change]]&gt;0,"UP",IF(Option_Chain_Data[[#This Row],[CAll.change]]&lt;0,"DOWN",""))</f>
        <v>UP</v>
      </c>
      <c r="F64" s="144">
        <v>4252</v>
      </c>
      <c r="G64" s="144">
        <v>-31</v>
      </c>
      <c r="H64" s="139">
        <v>514</v>
      </c>
      <c r="I64" s="139">
        <v>34.950000000000003</v>
      </c>
      <c r="J64" s="144">
        <v>724</v>
      </c>
      <c r="K64" s="144">
        <v>9.2000000000000437</v>
      </c>
      <c r="L64" s="140">
        <v>17500</v>
      </c>
      <c r="M64" s="144">
        <v>-0.55000000000000004</v>
      </c>
      <c r="N64" s="144">
        <v>1.3</v>
      </c>
      <c r="O64" s="139">
        <v>34.75</v>
      </c>
      <c r="P64" s="139">
        <v>132974</v>
      </c>
      <c r="Q64" s="144">
        <v>15115</v>
      </c>
      <c r="R64" s="144">
        <v>109799</v>
      </c>
      <c r="S64" s="139">
        <v>18227.5</v>
      </c>
      <c r="T64" s="138" t="str">
        <f>IF(Option_Chain_Data[[#This Row],[PUT.change]]&gt;0,"UP",IF(Option_Chain_Data[[#This Row],[PUT.change]]&lt;0,"DOWN",""))</f>
        <v>DOWN</v>
      </c>
      <c r="U64" s="138" t="str">
        <f>IF(Option_Chain_Data[[#This Row],[PUT.changeinOpenInterest]]&gt;0,"UP",IF(Option_Chain_Data[[#This Row],[PUT.changeinOpenInterest]]&lt;0,"DOWN",""))</f>
        <v>UP</v>
      </c>
      <c r="V6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64" s="138" t="str">
        <f>IF(OR(Option_Chain_Data[[#This Row],[InterPretation2]]="Long Build UP",Option_Chain_Data[[#This Row],[InterPretation2]]="Short Covering"),"BULLISH",IF(OR(Option_Chain_Data[[#This Row],[InterPretation2]]="Long Liquidation",Option_Chain_Data[[#This Row],[InterPretation2]]="Short Build UP"),"BEARISH",""))</f>
        <v>BEARISH</v>
      </c>
    </row>
    <row r="65" spans="1:23" s="143" customFormat="1" ht="19.8" x14ac:dyDescent="0.4">
      <c r="A65" s="143" t="s">
        <v>123</v>
      </c>
      <c r="B65" s="138" t="str">
        <f>IF(OR(Option_Chain_Data[[#This Row],[InterPretation]]="Long Build UP",Option_Chain_Data[[#This Row],[InterPretation]]="Short Covering"),"BULLISH",IF(OR(Option_Chain_Data[[#This Row],[InterPretation]]="LongLiquidation",Option_Chain_Data[[#This Row],[InterPretation]]="Short Build UP"),"BEARISH",""))</f>
        <v>BULLISH</v>
      </c>
      <c r="C6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65" s="138" t="str">
        <f>IF(Option_Chain_Data[[#This Row],[Call.changeinOpenInterest]]&gt;0,"UP",IF(Option_Chain_Data[[#This Row],[Call.changeinOpenInterest]]&lt;0,"DOWN",""))</f>
        <v>DOWN</v>
      </c>
      <c r="E65" s="138" t="str">
        <f>IF(Option_Chain_Data[[#This Row],[CAll.change]]&gt;0,"UP",IF(Option_Chain_Data[[#This Row],[CAll.change]]&lt;0,"DOWN",""))</f>
        <v>UP</v>
      </c>
      <c r="F65" s="144">
        <v>168</v>
      </c>
      <c r="G65" s="144">
        <v>-1</v>
      </c>
      <c r="H65" s="139">
        <v>12</v>
      </c>
      <c r="I65" s="139">
        <v>55.95</v>
      </c>
      <c r="J65" s="144">
        <v>702.75</v>
      </c>
      <c r="K65" s="144">
        <v>40.450000000000045</v>
      </c>
      <c r="L65" s="140">
        <v>17550</v>
      </c>
      <c r="M65" s="144">
        <v>-0.64999999999999991</v>
      </c>
      <c r="N65" s="144">
        <v>1.4</v>
      </c>
      <c r="O65" s="139">
        <v>32.49</v>
      </c>
      <c r="P65" s="139">
        <v>22742</v>
      </c>
      <c r="Q65" s="144">
        <v>-1672</v>
      </c>
      <c r="R65" s="144">
        <v>13311</v>
      </c>
      <c r="S65" s="139">
        <v>18222.349999999999</v>
      </c>
      <c r="T65" s="138" t="str">
        <f>IF(Option_Chain_Data[[#This Row],[PUT.change]]&gt;0,"UP",IF(Option_Chain_Data[[#This Row],[PUT.change]]&lt;0,"DOWN",""))</f>
        <v>DOWN</v>
      </c>
      <c r="U65" s="138" t="str">
        <f>IF(Option_Chain_Data[[#This Row],[PUT.changeinOpenInterest]]&gt;0,"UP",IF(Option_Chain_Data[[#This Row],[PUT.changeinOpenInterest]]&lt;0,"DOWN",""))</f>
        <v>DOWN</v>
      </c>
      <c r="V6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65" s="138" t="str">
        <f>IF(OR(Option_Chain_Data[[#This Row],[InterPretation2]]="Long Build UP",Option_Chain_Data[[#This Row],[InterPretation2]]="Short Covering"),"BULLISH",IF(OR(Option_Chain_Data[[#This Row],[InterPretation2]]="Long Liquidation",Option_Chain_Data[[#This Row],[InterPretation2]]="Short Build UP"),"BEARISH",""))</f>
        <v>BEARISH</v>
      </c>
    </row>
    <row r="66" spans="1:23" s="143" customFormat="1" ht="19.8" x14ac:dyDescent="0.4">
      <c r="A66" s="143" t="s">
        <v>123</v>
      </c>
      <c r="B66" s="138" t="str">
        <f>IF(OR(Option_Chain_Data[[#This Row],[InterPretation]]="Long Build UP",Option_Chain_Data[[#This Row],[InterPretation]]="Short Covering"),"BULLISH",IF(OR(Option_Chain_Data[[#This Row],[InterPretation]]="LongLiquidation",Option_Chain_Data[[#This Row],[InterPretation]]="Short Build UP"),"BEARISH",""))</f>
        <v>BULLISH</v>
      </c>
      <c r="C6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66" s="138" t="str">
        <f>IF(Option_Chain_Data[[#This Row],[Call.changeinOpenInterest]]&gt;0,"UP",IF(Option_Chain_Data[[#This Row],[Call.changeinOpenInterest]]&lt;0,"DOWN",""))</f>
        <v>DOWN</v>
      </c>
      <c r="E66" s="138" t="str">
        <f>IF(Option_Chain_Data[[#This Row],[CAll.change]]&gt;0,"UP",IF(Option_Chain_Data[[#This Row],[CAll.change]]&lt;0,"DOWN",""))</f>
        <v>UP</v>
      </c>
      <c r="F66" s="144">
        <v>1086</v>
      </c>
      <c r="G66" s="144">
        <v>-2</v>
      </c>
      <c r="H66" s="139">
        <v>157</v>
      </c>
      <c r="I66" s="139">
        <v>35.89</v>
      </c>
      <c r="J66" s="144">
        <v>624.9</v>
      </c>
      <c r="K66" s="144">
        <v>9.3500000000000245</v>
      </c>
      <c r="L66" s="140">
        <v>17600</v>
      </c>
      <c r="M66" s="144">
        <v>-0.64999999999999991</v>
      </c>
      <c r="N66" s="144">
        <v>1.6</v>
      </c>
      <c r="O66" s="139">
        <v>30.93</v>
      </c>
      <c r="P66" s="139">
        <v>133131</v>
      </c>
      <c r="Q66" s="144">
        <v>-2434</v>
      </c>
      <c r="R66" s="144">
        <v>62044</v>
      </c>
      <c r="S66" s="139">
        <v>18227.5</v>
      </c>
      <c r="T66" s="138" t="str">
        <f>IF(Option_Chain_Data[[#This Row],[PUT.change]]&gt;0,"UP",IF(Option_Chain_Data[[#This Row],[PUT.change]]&lt;0,"DOWN",""))</f>
        <v>DOWN</v>
      </c>
      <c r="U66" s="138" t="str">
        <f>IF(Option_Chain_Data[[#This Row],[PUT.changeinOpenInterest]]&gt;0,"UP",IF(Option_Chain_Data[[#This Row],[PUT.changeinOpenInterest]]&lt;0,"DOWN",""))</f>
        <v>DOWN</v>
      </c>
      <c r="V6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66" s="138" t="str">
        <f>IF(OR(Option_Chain_Data[[#This Row],[InterPretation2]]="Long Build UP",Option_Chain_Data[[#This Row],[InterPretation2]]="Short Covering"),"BULLISH",IF(OR(Option_Chain_Data[[#This Row],[InterPretation2]]="Long Liquidation",Option_Chain_Data[[#This Row],[InterPretation2]]="Short Build UP"),"BEARISH",""))</f>
        <v>BEARISH</v>
      </c>
    </row>
    <row r="67" spans="1:23" s="143" customFormat="1" ht="19.8" x14ac:dyDescent="0.4">
      <c r="A67" s="143" t="s">
        <v>123</v>
      </c>
      <c r="B67" s="138" t="str">
        <f>IF(OR(Option_Chain_Data[[#This Row],[InterPretation]]="Long Build UP",Option_Chain_Data[[#This Row],[InterPretation]]="Short Covering"),"BULLISH",IF(OR(Option_Chain_Data[[#This Row],[InterPretation]]="LongLiquidation",Option_Chain_Data[[#This Row],[InterPretation]]="Short Build UP"),"BEARISH",""))</f>
        <v>BULLISH</v>
      </c>
      <c r="C6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67" s="138" t="str">
        <f>IF(Option_Chain_Data[[#This Row],[Call.changeinOpenInterest]]&gt;0,"UP",IF(Option_Chain_Data[[#This Row],[Call.changeinOpenInterest]]&lt;0,"DOWN",""))</f>
        <v>DOWN</v>
      </c>
      <c r="E67" s="138" t="str">
        <f>IF(Option_Chain_Data[[#This Row],[CAll.change]]&gt;0,"UP",IF(Option_Chain_Data[[#This Row],[CAll.change]]&lt;0,"DOWN",""))</f>
        <v>UP</v>
      </c>
      <c r="F67" s="144">
        <v>364</v>
      </c>
      <c r="G67" s="144">
        <v>-3</v>
      </c>
      <c r="H67" s="139">
        <v>20</v>
      </c>
      <c r="I67" s="139">
        <v>45.53</v>
      </c>
      <c r="J67" s="144">
        <v>596.04999999999995</v>
      </c>
      <c r="K67" s="144">
        <v>29.299999999999955</v>
      </c>
      <c r="L67" s="140">
        <v>17650</v>
      </c>
      <c r="M67" s="144">
        <v>-1.1000000000000001</v>
      </c>
      <c r="N67" s="144">
        <v>1.8</v>
      </c>
      <c r="O67" s="139">
        <v>29.26</v>
      </c>
      <c r="P67" s="139">
        <v>56863</v>
      </c>
      <c r="Q67" s="144">
        <v>-5853</v>
      </c>
      <c r="R67" s="144">
        <v>49730</v>
      </c>
      <c r="S67" s="139">
        <v>18222.349999999999</v>
      </c>
      <c r="T67" s="138" t="str">
        <f>IF(Option_Chain_Data[[#This Row],[PUT.change]]&gt;0,"UP",IF(Option_Chain_Data[[#This Row],[PUT.change]]&lt;0,"DOWN",""))</f>
        <v>DOWN</v>
      </c>
      <c r="U67" s="138" t="str">
        <f>IF(Option_Chain_Data[[#This Row],[PUT.changeinOpenInterest]]&gt;0,"UP",IF(Option_Chain_Data[[#This Row],[PUT.changeinOpenInterest]]&lt;0,"DOWN",""))</f>
        <v>DOWN</v>
      </c>
      <c r="V6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67" s="138" t="str">
        <f>IF(OR(Option_Chain_Data[[#This Row],[InterPretation2]]="Long Build UP",Option_Chain_Data[[#This Row],[InterPretation2]]="Short Covering"),"BULLISH",IF(OR(Option_Chain_Data[[#This Row],[InterPretation2]]="Long Liquidation",Option_Chain_Data[[#This Row],[InterPretation2]]="Short Build UP"),"BEARISH",""))</f>
        <v>BEARISH</v>
      </c>
    </row>
    <row r="68" spans="1:23" s="143" customFormat="1" ht="19.8" x14ac:dyDescent="0.4">
      <c r="A68" s="143" t="s">
        <v>123</v>
      </c>
      <c r="B68" s="138" t="str">
        <f>IF(OR(Option_Chain_Data[[#This Row],[InterPretation]]="Long Build UP",Option_Chain_Data[[#This Row],[InterPretation]]="Short Covering"),"BULLISH",IF(OR(Option_Chain_Data[[#This Row],[InterPretation]]="LongLiquidation",Option_Chain_Data[[#This Row],[InterPretation]]="Short Build UP"),"BEARISH",""))</f>
        <v>BULLISH</v>
      </c>
      <c r="C6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68" s="138" t="str">
        <f>IF(Option_Chain_Data[[#This Row],[Call.changeinOpenInterest]]&gt;0,"UP",IF(Option_Chain_Data[[#This Row],[Call.changeinOpenInterest]]&lt;0,"DOWN",""))</f>
        <v>DOWN</v>
      </c>
      <c r="E68" s="138" t="str">
        <f>IF(Option_Chain_Data[[#This Row],[CAll.change]]&gt;0,"UP",IF(Option_Chain_Data[[#This Row],[CAll.change]]&lt;0,"DOWN",""))</f>
        <v>UP</v>
      </c>
      <c r="F68" s="144">
        <v>3209</v>
      </c>
      <c r="G68" s="144">
        <v>-25</v>
      </c>
      <c r="H68" s="139">
        <v>594</v>
      </c>
      <c r="I68" s="139">
        <v>34.18</v>
      </c>
      <c r="J68" s="144">
        <v>525.1</v>
      </c>
      <c r="K68" s="144">
        <v>8</v>
      </c>
      <c r="L68" s="140">
        <v>17700</v>
      </c>
      <c r="M68" s="144">
        <v>-1.3000000000000005</v>
      </c>
      <c r="N68" s="144">
        <v>2.0499999999999998</v>
      </c>
      <c r="O68" s="139">
        <v>27.63</v>
      </c>
      <c r="P68" s="139">
        <v>169037</v>
      </c>
      <c r="Q68" s="144">
        <v>11369</v>
      </c>
      <c r="R68" s="144">
        <v>76111</v>
      </c>
      <c r="S68" s="139">
        <v>18227.5</v>
      </c>
      <c r="T68" s="138" t="str">
        <f>IF(Option_Chain_Data[[#This Row],[PUT.change]]&gt;0,"UP",IF(Option_Chain_Data[[#This Row],[PUT.change]]&lt;0,"DOWN",""))</f>
        <v>DOWN</v>
      </c>
      <c r="U68" s="138" t="str">
        <f>IF(Option_Chain_Data[[#This Row],[PUT.changeinOpenInterest]]&gt;0,"UP",IF(Option_Chain_Data[[#This Row],[PUT.changeinOpenInterest]]&lt;0,"DOWN",""))</f>
        <v>UP</v>
      </c>
      <c r="V6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68" s="138" t="str">
        <f>IF(OR(Option_Chain_Data[[#This Row],[InterPretation2]]="Long Build UP",Option_Chain_Data[[#This Row],[InterPretation2]]="Short Covering"),"BULLISH",IF(OR(Option_Chain_Data[[#This Row],[InterPretation2]]="Long Liquidation",Option_Chain_Data[[#This Row],[InterPretation2]]="Short Build UP"),"BEARISH",""))</f>
        <v>BEARISH</v>
      </c>
    </row>
    <row r="69" spans="1:23" s="143" customFormat="1" ht="19.8" x14ac:dyDescent="0.4">
      <c r="A69" s="143" t="s">
        <v>123</v>
      </c>
      <c r="B69" s="138" t="str">
        <f>IF(OR(Option_Chain_Data[[#This Row],[InterPretation]]="Long Build UP",Option_Chain_Data[[#This Row],[InterPretation]]="Short Covering"),"BULLISH",IF(OR(Option_Chain_Data[[#This Row],[InterPretation]]="LongLiquidation",Option_Chain_Data[[#This Row],[InterPretation]]="Short Build UP"),"BEARISH",""))</f>
        <v>BULLISH</v>
      </c>
      <c r="C6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69" s="138" t="str">
        <f>IF(Option_Chain_Data[[#This Row],[Call.changeinOpenInterest]]&gt;0,"UP",IF(Option_Chain_Data[[#This Row],[Call.changeinOpenInterest]]&lt;0,"DOWN",""))</f>
        <v>DOWN</v>
      </c>
      <c r="E69" s="138" t="str">
        <f>IF(Option_Chain_Data[[#This Row],[CAll.change]]&gt;0,"UP",IF(Option_Chain_Data[[#This Row],[CAll.change]]&lt;0,"DOWN",""))</f>
        <v>UP</v>
      </c>
      <c r="F69" s="144">
        <v>4075</v>
      </c>
      <c r="G69" s="144">
        <v>-7</v>
      </c>
      <c r="H69" s="139">
        <v>150</v>
      </c>
      <c r="I69" s="139">
        <v>30.86</v>
      </c>
      <c r="J69" s="144">
        <v>481.5</v>
      </c>
      <c r="K69" s="144">
        <v>12.649999999999975</v>
      </c>
      <c r="L69" s="140">
        <v>17750</v>
      </c>
      <c r="M69" s="144">
        <v>-1.6</v>
      </c>
      <c r="N69" s="144">
        <v>2.4</v>
      </c>
      <c r="O69" s="139">
        <v>25.96</v>
      </c>
      <c r="P69" s="139">
        <v>90987</v>
      </c>
      <c r="Q69" s="144">
        <v>-8574</v>
      </c>
      <c r="R69" s="144">
        <v>31737</v>
      </c>
      <c r="S69" s="139">
        <v>18222.349999999999</v>
      </c>
      <c r="T69" s="138" t="str">
        <f>IF(Option_Chain_Data[[#This Row],[PUT.change]]&gt;0,"UP",IF(Option_Chain_Data[[#This Row],[PUT.change]]&lt;0,"DOWN",""))</f>
        <v>DOWN</v>
      </c>
      <c r="U69" s="138" t="str">
        <f>IF(Option_Chain_Data[[#This Row],[PUT.changeinOpenInterest]]&gt;0,"UP",IF(Option_Chain_Data[[#This Row],[PUT.changeinOpenInterest]]&lt;0,"DOWN",""))</f>
        <v>DOWN</v>
      </c>
      <c r="V6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69" s="138" t="str">
        <f>IF(OR(Option_Chain_Data[[#This Row],[InterPretation2]]="Long Build UP",Option_Chain_Data[[#This Row],[InterPretation2]]="Short Covering"),"BULLISH",IF(OR(Option_Chain_Data[[#This Row],[InterPretation2]]="Long Liquidation",Option_Chain_Data[[#This Row],[InterPretation2]]="Short Build UP"),"BEARISH",""))</f>
        <v>BEARISH</v>
      </c>
    </row>
    <row r="70" spans="1:23" s="143" customFormat="1" ht="19.8" x14ac:dyDescent="0.4">
      <c r="A70" s="143" t="s">
        <v>123</v>
      </c>
      <c r="B70" s="138" t="str">
        <f>IF(OR(Option_Chain_Data[[#This Row],[InterPretation]]="Long Build UP",Option_Chain_Data[[#This Row],[InterPretation]]="Short Covering"),"BULLISH",IF(OR(Option_Chain_Data[[#This Row],[InterPretation]]="LongLiquidation",Option_Chain_Data[[#This Row],[InterPretation]]="Short Build UP"),"BEARISH",""))</f>
        <v>BULLISH</v>
      </c>
      <c r="C7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70" s="138" t="str">
        <f>IF(Option_Chain_Data[[#This Row],[Call.changeinOpenInterest]]&gt;0,"UP",IF(Option_Chain_Data[[#This Row],[Call.changeinOpenInterest]]&lt;0,"DOWN",""))</f>
        <v>DOWN</v>
      </c>
      <c r="E70" s="138" t="str">
        <f>IF(Option_Chain_Data[[#This Row],[CAll.change]]&gt;0,"UP",IF(Option_Chain_Data[[#This Row],[CAll.change]]&lt;0,"DOWN",""))</f>
        <v>UP</v>
      </c>
      <c r="F70" s="144">
        <v>11168</v>
      </c>
      <c r="G70" s="144">
        <v>-128</v>
      </c>
      <c r="H70" s="139">
        <v>1602</v>
      </c>
      <c r="I70" s="139">
        <v>29.17</v>
      </c>
      <c r="J70" s="144">
        <v>427.05</v>
      </c>
      <c r="K70" s="144">
        <v>6.9000000000000341</v>
      </c>
      <c r="L70" s="140">
        <v>17800</v>
      </c>
      <c r="M70" s="144">
        <v>-2.3999999999999995</v>
      </c>
      <c r="N70" s="144">
        <v>2.95</v>
      </c>
      <c r="O70" s="139">
        <v>24.34</v>
      </c>
      <c r="P70" s="139">
        <v>246912</v>
      </c>
      <c r="Q70" s="144">
        <v>12744</v>
      </c>
      <c r="R70" s="144">
        <v>89669</v>
      </c>
      <c r="S70" s="139">
        <v>18227.5</v>
      </c>
      <c r="T70" s="138" t="str">
        <f>IF(Option_Chain_Data[[#This Row],[PUT.change]]&gt;0,"UP",IF(Option_Chain_Data[[#This Row],[PUT.change]]&lt;0,"DOWN",""))</f>
        <v>DOWN</v>
      </c>
      <c r="U70" s="138" t="str">
        <f>IF(Option_Chain_Data[[#This Row],[PUT.changeinOpenInterest]]&gt;0,"UP",IF(Option_Chain_Data[[#This Row],[PUT.changeinOpenInterest]]&lt;0,"DOWN",""))</f>
        <v>UP</v>
      </c>
      <c r="V7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0" s="138" t="str">
        <f>IF(OR(Option_Chain_Data[[#This Row],[InterPretation2]]="Long Build UP",Option_Chain_Data[[#This Row],[InterPretation2]]="Short Covering"),"BULLISH",IF(OR(Option_Chain_Data[[#This Row],[InterPretation2]]="Long Liquidation",Option_Chain_Data[[#This Row],[InterPretation2]]="Short Build UP"),"BEARISH",""))</f>
        <v>BEARISH</v>
      </c>
    </row>
    <row r="71" spans="1:23" s="143" customFormat="1" ht="19.8" x14ac:dyDescent="0.4">
      <c r="A71" s="143" t="s">
        <v>123</v>
      </c>
      <c r="B71" s="138" t="str">
        <f>IF(OR(Option_Chain_Data[[#This Row],[InterPretation]]="Long Build UP",Option_Chain_Data[[#This Row],[InterPretation]]="Short Covering"),"BULLISH",IF(OR(Option_Chain_Data[[#This Row],[InterPretation]]="LongLiquidation",Option_Chain_Data[[#This Row],[InterPretation]]="Short Build UP"),"BEARISH",""))</f>
        <v>BULLISH</v>
      </c>
      <c r="C7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71" s="138" t="str">
        <f>IF(Option_Chain_Data[[#This Row],[Call.changeinOpenInterest]]&gt;0,"UP",IF(Option_Chain_Data[[#This Row],[Call.changeinOpenInterest]]&lt;0,"DOWN",""))</f>
        <v>DOWN</v>
      </c>
      <c r="E71" s="138" t="str">
        <f>IF(Option_Chain_Data[[#This Row],[CAll.change]]&gt;0,"UP",IF(Option_Chain_Data[[#This Row],[CAll.change]]&lt;0,"DOWN",""))</f>
        <v>UP</v>
      </c>
      <c r="F71" s="144">
        <v>554</v>
      </c>
      <c r="G71" s="144">
        <v>-41</v>
      </c>
      <c r="H71" s="139">
        <v>366</v>
      </c>
      <c r="I71" s="139">
        <v>27.04</v>
      </c>
      <c r="J71" s="144">
        <v>374.55</v>
      </c>
      <c r="K71" s="144">
        <v>2.3000000000000114</v>
      </c>
      <c r="L71" s="140">
        <v>17850</v>
      </c>
      <c r="M71" s="144">
        <v>-3.25</v>
      </c>
      <c r="N71" s="144">
        <v>3.75</v>
      </c>
      <c r="O71" s="139">
        <v>22.87</v>
      </c>
      <c r="P71" s="139">
        <v>127616</v>
      </c>
      <c r="Q71" s="144">
        <v>2355</v>
      </c>
      <c r="R71" s="144">
        <v>36428</v>
      </c>
      <c r="S71" s="139">
        <v>18227.5</v>
      </c>
      <c r="T71" s="138" t="str">
        <f>IF(Option_Chain_Data[[#This Row],[PUT.change]]&gt;0,"UP",IF(Option_Chain_Data[[#This Row],[PUT.change]]&lt;0,"DOWN",""))</f>
        <v>DOWN</v>
      </c>
      <c r="U71" s="138" t="str">
        <f>IF(Option_Chain_Data[[#This Row],[PUT.changeinOpenInterest]]&gt;0,"UP",IF(Option_Chain_Data[[#This Row],[PUT.changeinOpenInterest]]&lt;0,"DOWN",""))</f>
        <v>UP</v>
      </c>
      <c r="V7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1" s="138" t="str">
        <f>IF(OR(Option_Chain_Data[[#This Row],[InterPretation2]]="Long Build UP",Option_Chain_Data[[#This Row],[InterPretation2]]="Short Covering"),"BULLISH",IF(OR(Option_Chain_Data[[#This Row],[InterPretation2]]="Long Liquidation",Option_Chain_Data[[#This Row],[InterPretation2]]="Short Build UP"),"BEARISH",""))</f>
        <v>BEARISH</v>
      </c>
    </row>
    <row r="72" spans="1:23" s="143" customFormat="1" ht="19.8" x14ac:dyDescent="0.4">
      <c r="A72" s="143" t="s">
        <v>123</v>
      </c>
      <c r="B72" s="138" t="str">
        <f>IF(OR(Option_Chain_Data[[#This Row],[InterPretation]]="Long Build UP",Option_Chain_Data[[#This Row],[InterPretation]]="Short Covering"),"BULLISH",IF(OR(Option_Chain_Data[[#This Row],[InterPretation]]="LongLiquidation",Option_Chain_Data[[#This Row],[InterPretation]]="Short Build UP"),"BEARISH",""))</f>
        <v>BULLISH</v>
      </c>
      <c r="C7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72" s="138" t="str">
        <f>IF(Option_Chain_Data[[#This Row],[Call.changeinOpenInterest]]&gt;0,"UP",IF(Option_Chain_Data[[#This Row],[Call.changeinOpenInterest]]&lt;0,"DOWN",""))</f>
        <v>DOWN</v>
      </c>
      <c r="E72" s="138" t="str">
        <f>IF(Option_Chain_Data[[#This Row],[CAll.change]]&gt;0,"UP",IF(Option_Chain_Data[[#This Row],[CAll.change]]&lt;0,"DOWN",""))</f>
        <v>UP</v>
      </c>
      <c r="F72" s="144">
        <v>5178</v>
      </c>
      <c r="G72" s="144">
        <v>-103</v>
      </c>
      <c r="H72" s="139">
        <v>4487</v>
      </c>
      <c r="I72" s="139">
        <v>24.69</v>
      </c>
      <c r="J72" s="144">
        <v>330.35</v>
      </c>
      <c r="K72" s="144">
        <v>6.3000000000000114</v>
      </c>
      <c r="L72" s="140">
        <v>17900</v>
      </c>
      <c r="M72" s="144">
        <v>-4.6499999999999995</v>
      </c>
      <c r="N72" s="144">
        <v>5.3</v>
      </c>
      <c r="O72" s="139">
        <v>21.76</v>
      </c>
      <c r="P72" s="139">
        <v>319340</v>
      </c>
      <c r="Q72" s="144">
        <v>27359</v>
      </c>
      <c r="R72" s="144">
        <v>91675</v>
      </c>
      <c r="S72" s="139">
        <v>18227.5</v>
      </c>
      <c r="T72" s="138" t="str">
        <f>IF(Option_Chain_Data[[#This Row],[PUT.change]]&gt;0,"UP",IF(Option_Chain_Data[[#This Row],[PUT.change]]&lt;0,"DOWN",""))</f>
        <v>DOWN</v>
      </c>
      <c r="U72" s="138" t="str">
        <f>IF(Option_Chain_Data[[#This Row],[PUT.changeinOpenInterest]]&gt;0,"UP",IF(Option_Chain_Data[[#This Row],[PUT.changeinOpenInterest]]&lt;0,"DOWN",""))</f>
        <v>UP</v>
      </c>
      <c r="V7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2" s="138" t="str">
        <f>IF(OR(Option_Chain_Data[[#This Row],[InterPretation2]]="Long Build UP",Option_Chain_Data[[#This Row],[InterPretation2]]="Short Covering"),"BULLISH",IF(OR(Option_Chain_Data[[#This Row],[InterPretation2]]="Long Liquidation",Option_Chain_Data[[#This Row],[InterPretation2]]="Short Build UP"),"BEARISH",""))</f>
        <v>BEARISH</v>
      </c>
    </row>
    <row r="73" spans="1:23" s="143" customFormat="1" ht="19.8" x14ac:dyDescent="0.4">
      <c r="A73" s="143" t="s">
        <v>123</v>
      </c>
      <c r="B73" s="138" t="str">
        <f>IF(OR(Option_Chain_Data[[#This Row],[InterPretation]]="Long Build UP",Option_Chain_Data[[#This Row],[InterPretation]]="Short Covering"),"BULLISH",IF(OR(Option_Chain_Data[[#This Row],[InterPretation]]="LongLiquidation",Option_Chain_Data[[#This Row],[InterPretation]]="Short Build UP"),"BEARISH",""))</f>
        <v>BULLISH</v>
      </c>
      <c r="C7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73" s="138" t="str">
        <f>IF(Option_Chain_Data[[#This Row],[Call.changeinOpenInterest]]&gt;0,"UP",IF(Option_Chain_Data[[#This Row],[Call.changeinOpenInterest]]&lt;0,"DOWN",""))</f>
        <v>DOWN</v>
      </c>
      <c r="E73" s="138" t="str">
        <f>IF(Option_Chain_Data[[#This Row],[CAll.change]]&gt;0,"UP",IF(Option_Chain_Data[[#This Row],[CAll.change]]&lt;0,"DOWN",""))</f>
        <v>UP</v>
      </c>
      <c r="F73" s="144">
        <v>1034</v>
      </c>
      <c r="G73" s="144">
        <v>-87</v>
      </c>
      <c r="H73" s="139">
        <v>1444</v>
      </c>
      <c r="I73" s="139">
        <v>23.09</v>
      </c>
      <c r="J73" s="144">
        <v>283.45</v>
      </c>
      <c r="K73" s="144">
        <v>4.6999999999999886</v>
      </c>
      <c r="L73" s="140">
        <v>17950</v>
      </c>
      <c r="M73" s="144">
        <v>-6.2999999999999989</v>
      </c>
      <c r="N73" s="144">
        <v>7.65</v>
      </c>
      <c r="O73" s="139">
        <v>20.72</v>
      </c>
      <c r="P73" s="139">
        <v>248438</v>
      </c>
      <c r="Q73" s="144">
        <v>20931</v>
      </c>
      <c r="R73" s="144">
        <v>51196</v>
      </c>
      <c r="S73" s="139">
        <v>18227.5</v>
      </c>
      <c r="T73" s="138" t="str">
        <f>IF(Option_Chain_Data[[#This Row],[PUT.change]]&gt;0,"UP",IF(Option_Chain_Data[[#This Row],[PUT.change]]&lt;0,"DOWN",""))</f>
        <v>DOWN</v>
      </c>
      <c r="U73" s="138" t="str">
        <f>IF(Option_Chain_Data[[#This Row],[PUT.changeinOpenInterest]]&gt;0,"UP",IF(Option_Chain_Data[[#This Row],[PUT.changeinOpenInterest]]&lt;0,"DOWN",""))</f>
        <v>UP</v>
      </c>
      <c r="V7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3" s="138" t="str">
        <f>IF(OR(Option_Chain_Data[[#This Row],[InterPretation2]]="Long Build UP",Option_Chain_Data[[#This Row],[InterPretation2]]="Short Covering"),"BULLISH",IF(OR(Option_Chain_Data[[#This Row],[InterPretation2]]="Long Liquidation",Option_Chain_Data[[#This Row],[InterPretation2]]="Short Build UP"),"BEARISH",""))</f>
        <v>BEARISH</v>
      </c>
    </row>
    <row r="74" spans="1:23" s="143" customFormat="1" ht="19.8" x14ac:dyDescent="0.4">
      <c r="A74" s="143" t="s">
        <v>123</v>
      </c>
      <c r="B74" s="138" t="str">
        <f>IF(OR(Option_Chain_Data[[#This Row],[InterPretation]]="Long Build UP",Option_Chain_Data[[#This Row],[InterPretation]]="Short Covering"),"BULLISH",IF(OR(Option_Chain_Data[[#This Row],[InterPretation]]="LongLiquidation",Option_Chain_Data[[#This Row],[InterPretation]]="Short Build UP"),"BEARISH",""))</f>
        <v>BULLISH</v>
      </c>
      <c r="C7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74" s="138" t="str">
        <f>IF(Option_Chain_Data[[#This Row],[Call.changeinOpenInterest]]&gt;0,"UP",IF(Option_Chain_Data[[#This Row],[Call.changeinOpenInterest]]&lt;0,"DOWN",""))</f>
        <v>DOWN</v>
      </c>
      <c r="E74" s="138" t="str">
        <f>IF(Option_Chain_Data[[#This Row],[CAll.change]]&gt;0,"UP",IF(Option_Chain_Data[[#This Row],[CAll.change]]&lt;0,"DOWN",""))</f>
        <v>UP</v>
      </c>
      <c r="F74" s="144">
        <v>78085</v>
      </c>
      <c r="G74" s="144">
        <v>-8047</v>
      </c>
      <c r="H74" s="139">
        <v>56664</v>
      </c>
      <c r="I74" s="139">
        <v>22.4</v>
      </c>
      <c r="J74" s="144">
        <v>237.15</v>
      </c>
      <c r="K74" s="144">
        <v>3.5500000000000114</v>
      </c>
      <c r="L74" s="140">
        <v>18000</v>
      </c>
      <c r="M74" s="144">
        <v>-8.2000000000000011</v>
      </c>
      <c r="N74" s="144">
        <v>11.65</v>
      </c>
      <c r="O74" s="139">
        <v>20.04</v>
      </c>
      <c r="P74" s="139">
        <v>552042</v>
      </c>
      <c r="Q74" s="144">
        <v>43162</v>
      </c>
      <c r="R74" s="144">
        <v>218064</v>
      </c>
      <c r="S74" s="139">
        <v>18227.5</v>
      </c>
      <c r="T74" s="138" t="str">
        <f>IF(Option_Chain_Data[[#This Row],[PUT.change]]&gt;0,"UP",IF(Option_Chain_Data[[#This Row],[PUT.change]]&lt;0,"DOWN",""))</f>
        <v>DOWN</v>
      </c>
      <c r="U74" s="138" t="str">
        <f>IF(Option_Chain_Data[[#This Row],[PUT.changeinOpenInterest]]&gt;0,"UP",IF(Option_Chain_Data[[#This Row],[PUT.changeinOpenInterest]]&lt;0,"DOWN",""))</f>
        <v>UP</v>
      </c>
      <c r="V7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4" s="138" t="str">
        <f>IF(OR(Option_Chain_Data[[#This Row],[InterPretation2]]="Long Build UP",Option_Chain_Data[[#This Row],[InterPretation2]]="Short Covering"),"BULLISH",IF(OR(Option_Chain_Data[[#This Row],[InterPretation2]]="Long Liquidation",Option_Chain_Data[[#This Row],[InterPretation2]]="Short Build UP"),"BEARISH",""))</f>
        <v>BEARISH</v>
      </c>
    </row>
    <row r="75" spans="1:23" s="143" customFormat="1" ht="19.8" x14ac:dyDescent="0.4">
      <c r="A75" s="143" t="s">
        <v>123</v>
      </c>
      <c r="B75" s="138" t="str">
        <f>IF(OR(Option_Chain_Data[[#This Row],[InterPretation]]="Long Build UP",Option_Chain_Data[[#This Row],[InterPretation]]="Short Covering"),"BULLISH",IF(OR(Option_Chain_Data[[#This Row],[InterPretation]]="LongLiquidation",Option_Chain_Data[[#This Row],[InterPretation]]="Short Build UP"),"BEARISH",""))</f>
        <v>BULLISH</v>
      </c>
      <c r="C7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75" s="138" t="str">
        <f>IF(Option_Chain_Data[[#This Row],[Call.changeinOpenInterest]]&gt;0,"UP",IF(Option_Chain_Data[[#This Row],[Call.changeinOpenInterest]]&lt;0,"DOWN",""))</f>
        <v>DOWN</v>
      </c>
      <c r="E75" s="138" t="str">
        <f>IF(Option_Chain_Data[[#This Row],[CAll.change]]&gt;0,"UP",IF(Option_Chain_Data[[#This Row],[CAll.change]]&lt;0,"DOWN",""))</f>
        <v>UP</v>
      </c>
      <c r="F75" s="144">
        <v>14628</v>
      </c>
      <c r="G75" s="144">
        <v>-3383</v>
      </c>
      <c r="H75" s="139">
        <v>31188</v>
      </c>
      <c r="I75" s="139">
        <v>21.11</v>
      </c>
      <c r="J75" s="144">
        <v>193.2</v>
      </c>
      <c r="K75" s="144">
        <v>1.1499999999999773</v>
      </c>
      <c r="L75" s="140">
        <v>18050</v>
      </c>
      <c r="M75" s="144">
        <v>-10.7</v>
      </c>
      <c r="N75" s="144">
        <v>17.2</v>
      </c>
      <c r="O75" s="139">
        <v>0</v>
      </c>
      <c r="P75" s="139">
        <v>292366</v>
      </c>
      <c r="Q75" s="144">
        <v>-2005</v>
      </c>
      <c r="R75" s="144">
        <v>53938</v>
      </c>
      <c r="S75" s="139">
        <v>18222.349999999999</v>
      </c>
      <c r="T75" s="138" t="str">
        <f>IF(Option_Chain_Data[[#This Row],[PUT.change]]&gt;0,"UP",IF(Option_Chain_Data[[#This Row],[PUT.change]]&lt;0,"DOWN",""))</f>
        <v>DOWN</v>
      </c>
      <c r="U75" s="138" t="str">
        <f>IF(Option_Chain_Data[[#This Row],[PUT.changeinOpenInterest]]&gt;0,"UP",IF(Option_Chain_Data[[#This Row],[PUT.changeinOpenInterest]]&lt;0,"DOWN",""))</f>
        <v>DOWN</v>
      </c>
      <c r="V7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75" s="138" t="str">
        <f>IF(OR(Option_Chain_Data[[#This Row],[InterPretation2]]="Long Build UP",Option_Chain_Data[[#This Row],[InterPretation2]]="Short Covering"),"BULLISH",IF(OR(Option_Chain_Data[[#This Row],[InterPretation2]]="Long Liquidation",Option_Chain_Data[[#This Row],[InterPretation2]]="Short Build UP"),"BEARISH",""))</f>
        <v>BEARISH</v>
      </c>
    </row>
    <row r="76" spans="1:23" s="143" customFormat="1" ht="19.8" x14ac:dyDescent="0.4">
      <c r="A76" s="143" t="s">
        <v>123</v>
      </c>
      <c r="B76" s="138" t="str">
        <f>IF(OR(Option_Chain_Data[[#This Row],[InterPretation]]="Long Build UP",Option_Chain_Data[[#This Row],[InterPretation]]="Short Covering"),"BULLISH",IF(OR(Option_Chain_Data[[#This Row],[InterPretation]]="LongLiquidation",Option_Chain_Data[[#This Row],[InterPretation]]="Short Build UP"),"BEARISH",""))</f>
        <v/>
      </c>
      <c r="C7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6" s="138" t="str">
        <f>IF(Option_Chain_Data[[#This Row],[Call.changeinOpenInterest]]&gt;0,"UP",IF(Option_Chain_Data[[#This Row],[Call.changeinOpenInterest]]&lt;0,"DOWN",""))</f>
        <v>DOWN</v>
      </c>
      <c r="E76" s="138" t="str">
        <f>IF(Option_Chain_Data[[#This Row],[CAll.change]]&gt;0,"UP",IF(Option_Chain_Data[[#This Row],[CAll.change]]&lt;0,"DOWN",""))</f>
        <v>DOWN</v>
      </c>
      <c r="F76" s="144">
        <v>84901</v>
      </c>
      <c r="G76" s="144">
        <v>-10995</v>
      </c>
      <c r="H76" s="139">
        <v>124840</v>
      </c>
      <c r="I76" s="139">
        <v>19.670000000000002</v>
      </c>
      <c r="J76" s="144">
        <v>151.1</v>
      </c>
      <c r="K76" s="144">
        <v>-2.3499999999999943</v>
      </c>
      <c r="L76" s="140">
        <v>18100</v>
      </c>
      <c r="M76" s="144">
        <v>-13.5</v>
      </c>
      <c r="N76" s="144">
        <v>25.65</v>
      </c>
      <c r="O76" s="139">
        <v>18.75</v>
      </c>
      <c r="P76" s="139">
        <v>551758</v>
      </c>
      <c r="Q76" s="144">
        <v>26626</v>
      </c>
      <c r="R76" s="144">
        <v>145397</v>
      </c>
      <c r="S76" s="139">
        <v>18222.349999999999</v>
      </c>
      <c r="T76" s="138" t="str">
        <f>IF(Option_Chain_Data[[#This Row],[PUT.change]]&gt;0,"UP",IF(Option_Chain_Data[[#This Row],[PUT.change]]&lt;0,"DOWN",""))</f>
        <v>DOWN</v>
      </c>
      <c r="U76" s="138" t="str">
        <f>IF(Option_Chain_Data[[#This Row],[PUT.changeinOpenInterest]]&gt;0,"UP",IF(Option_Chain_Data[[#This Row],[PUT.changeinOpenInterest]]&lt;0,"DOWN",""))</f>
        <v>UP</v>
      </c>
      <c r="V7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6" s="138" t="str">
        <f>IF(OR(Option_Chain_Data[[#This Row],[InterPretation2]]="Long Build UP",Option_Chain_Data[[#This Row],[InterPretation2]]="Short Covering"),"BULLISH",IF(OR(Option_Chain_Data[[#This Row],[InterPretation2]]="Long Liquidation",Option_Chain_Data[[#This Row],[InterPretation2]]="Short Build UP"),"BEARISH",""))</f>
        <v>BEARISH</v>
      </c>
    </row>
    <row r="77" spans="1:23" s="143" customFormat="1" ht="19.8" x14ac:dyDescent="0.4">
      <c r="A77" s="143" t="s">
        <v>123</v>
      </c>
      <c r="B77" s="138" t="str">
        <f>IF(OR(Option_Chain_Data[[#This Row],[InterPretation]]="Long Build UP",Option_Chain_Data[[#This Row],[InterPretation]]="Short Covering"),"BULLISH",IF(OR(Option_Chain_Data[[#This Row],[InterPretation]]="LongLiquidation",Option_Chain_Data[[#This Row],[InterPretation]]="Short Build UP"),"BEARISH",""))</f>
        <v/>
      </c>
      <c r="C7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7" s="138" t="str">
        <f>IF(Option_Chain_Data[[#This Row],[Call.changeinOpenInterest]]&gt;0,"UP",IF(Option_Chain_Data[[#This Row],[Call.changeinOpenInterest]]&lt;0,"DOWN",""))</f>
        <v>DOWN</v>
      </c>
      <c r="E77" s="138" t="str">
        <f>IF(Option_Chain_Data[[#This Row],[CAll.change]]&gt;0,"UP",IF(Option_Chain_Data[[#This Row],[CAll.change]]&lt;0,"DOWN",""))</f>
        <v>DOWN</v>
      </c>
      <c r="F77" s="144">
        <v>25956</v>
      </c>
      <c r="G77" s="144">
        <v>-1940</v>
      </c>
      <c r="H77" s="139">
        <v>89534</v>
      </c>
      <c r="I77" s="139">
        <v>0</v>
      </c>
      <c r="J77" s="144">
        <v>114.1</v>
      </c>
      <c r="K77" s="144">
        <v>-5.9000000000000057</v>
      </c>
      <c r="L77" s="140">
        <v>18150</v>
      </c>
      <c r="M77" s="144">
        <v>-17.149999999999999</v>
      </c>
      <c r="N77" s="144">
        <v>38.25</v>
      </c>
      <c r="O77" s="139">
        <v>18.23</v>
      </c>
      <c r="P77" s="139">
        <v>334115</v>
      </c>
      <c r="Q77" s="144">
        <v>27349</v>
      </c>
      <c r="R77" s="144">
        <v>61048</v>
      </c>
      <c r="S77" s="139">
        <v>18222.349999999999</v>
      </c>
      <c r="T77" s="138" t="str">
        <f>IF(Option_Chain_Data[[#This Row],[PUT.change]]&gt;0,"UP",IF(Option_Chain_Data[[#This Row],[PUT.change]]&lt;0,"DOWN",""))</f>
        <v>DOWN</v>
      </c>
      <c r="U77" s="138" t="str">
        <f>IF(Option_Chain_Data[[#This Row],[PUT.changeinOpenInterest]]&gt;0,"UP",IF(Option_Chain_Data[[#This Row],[PUT.changeinOpenInterest]]&lt;0,"DOWN",""))</f>
        <v>UP</v>
      </c>
      <c r="V7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7" s="138" t="str">
        <f>IF(OR(Option_Chain_Data[[#This Row],[InterPretation2]]="Long Build UP",Option_Chain_Data[[#This Row],[InterPretation2]]="Short Covering"),"BULLISH",IF(OR(Option_Chain_Data[[#This Row],[InterPretation2]]="Long Liquidation",Option_Chain_Data[[#This Row],[InterPretation2]]="Short Build UP"),"BEARISH",""))</f>
        <v>BEARISH</v>
      </c>
    </row>
    <row r="78" spans="1:23" s="143" customFormat="1" ht="19.8" x14ac:dyDescent="0.4">
      <c r="A78" s="143" t="s">
        <v>123</v>
      </c>
      <c r="B78" s="138" t="str">
        <f>IF(OR(Option_Chain_Data[[#This Row],[InterPretation]]="Long Build UP",Option_Chain_Data[[#This Row],[InterPretation]]="Short Covering"),"BULLISH",IF(OR(Option_Chain_Data[[#This Row],[InterPretation]]="LongLiquidation",Option_Chain_Data[[#This Row],[InterPretation]]="Short Build UP"),"BEARISH",""))</f>
        <v>BEARISH</v>
      </c>
      <c r="C7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78" s="138" t="str">
        <f>IF(Option_Chain_Data[[#This Row],[Call.changeinOpenInterest]]&gt;0,"UP",IF(Option_Chain_Data[[#This Row],[Call.changeinOpenInterest]]&lt;0,"DOWN",""))</f>
        <v>UP</v>
      </c>
      <c r="E78" s="138" t="str">
        <f>IF(Option_Chain_Data[[#This Row],[CAll.change]]&gt;0,"UP",IF(Option_Chain_Data[[#This Row],[CAll.change]]&lt;0,"DOWN",""))</f>
        <v>DOWN</v>
      </c>
      <c r="F78" s="144">
        <v>140751</v>
      </c>
      <c r="G78" s="144">
        <v>27748</v>
      </c>
      <c r="H78" s="139">
        <v>441693</v>
      </c>
      <c r="I78" s="139">
        <v>18.43</v>
      </c>
      <c r="J78" s="144">
        <v>82.35</v>
      </c>
      <c r="K78" s="144">
        <v>-8.6000000000000085</v>
      </c>
      <c r="L78" s="140">
        <v>18200</v>
      </c>
      <c r="M78" s="144">
        <v>-19.799999999999997</v>
      </c>
      <c r="N78" s="144">
        <v>56.45</v>
      </c>
      <c r="O78" s="139">
        <v>17.89</v>
      </c>
      <c r="P78" s="139">
        <v>782147</v>
      </c>
      <c r="Q78" s="144">
        <v>62658</v>
      </c>
      <c r="R78" s="144">
        <v>147836</v>
      </c>
      <c r="S78" s="139">
        <v>18222.349999999999</v>
      </c>
      <c r="T78" s="138" t="str">
        <f>IF(Option_Chain_Data[[#This Row],[PUT.change]]&gt;0,"UP",IF(Option_Chain_Data[[#This Row],[PUT.change]]&lt;0,"DOWN",""))</f>
        <v>DOWN</v>
      </c>
      <c r="U78" s="138" t="str">
        <f>IF(Option_Chain_Data[[#This Row],[PUT.changeinOpenInterest]]&gt;0,"UP",IF(Option_Chain_Data[[#This Row],[PUT.changeinOpenInterest]]&lt;0,"DOWN",""))</f>
        <v>UP</v>
      </c>
      <c r="V7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8" s="138" t="str">
        <f>IF(OR(Option_Chain_Data[[#This Row],[InterPretation2]]="Long Build UP",Option_Chain_Data[[#This Row],[InterPretation2]]="Short Covering"),"BULLISH",IF(OR(Option_Chain_Data[[#This Row],[InterPretation2]]="Long Liquidation",Option_Chain_Data[[#This Row],[InterPretation2]]="Short Build UP"),"BEARISH",""))</f>
        <v>BEARISH</v>
      </c>
    </row>
    <row r="79" spans="1:23" s="143" customFormat="1" ht="19.8" x14ac:dyDescent="0.4">
      <c r="A79" s="143" t="s">
        <v>123</v>
      </c>
      <c r="B79" s="138" t="str">
        <f>IF(OR(Option_Chain_Data[[#This Row],[InterPretation]]="Long Build UP",Option_Chain_Data[[#This Row],[InterPretation]]="Short Covering"),"BULLISH",IF(OR(Option_Chain_Data[[#This Row],[InterPretation]]="LongLiquidation",Option_Chain_Data[[#This Row],[InterPretation]]="Short Build UP"),"BEARISH",""))</f>
        <v>BEARISH</v>
      </c>
      <c r="C7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79" s="138" t="str">
        <f>IF(Option_Chain_Data[[#This Row],[Call.changeinOpenInterest]]&gt;0,"UP",IF(Option_Chain_Data[[#This Row],[Call.changeinOpenInterest]]&lt;0,"DOWN",""))</f>
        <v>UP</v>
      </c>
      <c r="E79" s="138" t="str">
        <f>IF(Option_Chain_Data[[#This Row],[CAll.change]]&gt;0,"UP",IF(Option_Chain_Data[[#This Row],[CAll.change]]&lt;0,"DOWN",""))</f>
        <v>DOWN</v>
      </c>
      <c r="F79" s="144">
        <v>98429</v>
      </c>
      <c r="G79" s="144">
        <v>50794</v>
      </c>
      <c r="H79" s="139">
        <v>422490</v>
      </c>
      <c r="I79" s="139">
        <v>0</v>
      </c>
      <c r="J79" s="144">
        <v>55.85</v>
      </c>
      <c r="K79" s="144">
        <v>-10.4</v>
      </c>
      <c r="L79" s="140">
        <v>18250</v>
      </c>
      <c r="M79" s="144">
        <v>-21.400000000000009</v>
      </c>
      <c r="N79" s="144">
        <v>80.05</v>
      </c>
      <c r="O79" s="139">
        <v>16.739999999999998</v>
      </c>
      <c r="P79" s="139">
        <v>434890</v>
      </c>
      <c r="Q79" s="144">
        <v>49942</v>
      </c>
      <c r="R79" s="144">
        <v>63178</v>
      </c>
      <c r="S79" s="139">
        <v>18227.5</v>
      </c>
      <c r="T79" s="138" t="str">
        <f>IF(Option_Chain_Data[[#This Row],[PUT.change]]&gt;0,"UP",IF(Option_Chain_Data[[#This Row],[PUT.change]]&lt;0,"DOWN",""))</f>
        <v>DOWN</v>
      </c>
      <c r="U79" s="138" t="str">
        <f>IF(Option_Chain_Data[[#This Row],[PUT.changeinOpenInterest]]&gt;0,"UP",IF(Option_Chain_Data[[#This Row],[PUT.changeinOpenInterest]]&lt;0,"DOWN",""))</f>
        <v>UP</v>
      </c>
      <c r="V7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9" s="138" t="str">
        <f>IF(OR(Option_Chain_Data[[#This Row],[InterPretation2]]="Long Build UP",Option_Chain_Data[[#This Row],[InterPretation2]]="Short Covering"),"BULLISH",IF(OR(Option_Chain_Data[[#This Row],[InterPretation2]]="Long Liquidation",Option_Chain_Data[[#This Row],[InterPretation2]]="Short Build UP"),"BEARISH",""))</f>
        <v>BEARISH</v>
      </c>
    </row>
    <row r="80" spans="1:23" s="143" customFormat="1" ht="19.8" x14ac:dyDescent="0.4">
      <c r="A80" s="143" t="s">
        <v>123</v>
      </c>
      <c r="B80" s="138" t="str">
        <f>IF(OR(Option_Chain_Data[[#This Row],[InterPretation]]="Long Build UP",Option_Chain_Data[[#This Row],[InterPretation]]="Short Covering"),"BULLISH",IF(OR(Option_Chain_Data[[#This Row],[InterPretation]]="LongLiquidation",Option_Chain_Data[[#This Row],[InterPretation]]="Short Build UP"),"BEARISH",""))</f>
        <v>BEARISH</v>
      </c>
      <c r="C8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0" s="138" t="str">
        <f>IF(Option_Chain_Data[[#This Row],[Call.changeinOpenInterest]]&gt;0,"UP",IF(Option_Chain_Data[[#This Row],[Call.changeinOpenInterest]]&lt;0,"DOWN",""))</f>
        <v>UP</v>
      </c>
      <c r="E80" s="138" t="str">
        <f>IF(Option_Chain_Data[[#This Row],[CAll.change]]&gt;0,"UP",IF(Option_Chain_Data[[#This Row],[CAll.change]]&lt;0,"DOWN",""))</f>
        <v>DOWN</v>
      </c>
      <c r="F80" s="144">
        <v>222744</v>
      </c>
      <c r="G80" s="144">
        <v>108256</v>
      </c>
      <c r="H80" s="139">
        <v>798008</v>
      </c>
      <c r="I80" s="139">
        <v>17.13</v>
      </c>
      <c r="J80" s="144">
        <v>35.450000000000003</v>
      </c>
      <c r="K80" s="144">
        <v>-10.449999999999996</v>
      </c>
      <c r="L80" s="140">
        <v>18300</v>
      </c>
      <c r="M80" s="144">
        <v>-21.700000000000003</v>
      </c>
      <c r="N80" s="144">
        <v>109.95</v>
      </c>
      <c r="O80" s="139">
        <v>16.11</v>
      </c>
      <c r="P80" s="139">
        <v>489761</v>
      </c>
      <c r="Q80" s="144">
        <v>46861</v>
      </c>
      <c r="R80" s="144">
        <v>62050</v>
      </c>
      <c r="S80" s="139">
        <v>18227.5</v>
      </c>
      <c r="T80" s="138" t="str">
        <f>IF(Option_Chain_Data[[#This Row],[PUT.change]]&gt;0,"UP",IF(Option_Chain_Data[[#This Row],[PUT.change]]&lt;0,"DOWN",""))</f>
        <v>DOWN</v>
      </c>
      <c r="U80" s="138" t="str">
        <f>IF(Option_Chain_Data[[#This Row],[PUT.changeinOpenInterest]]&gt;0,"UP",IF(Option_Chain_Data[[#This Row],[PUT.changeinOpenInterest]]&lt;0,"DOWN",""))</f>
        <v>UP</v>
      </c>
      <c r="V8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0" s="138" t="str">
        <f>IF(OR(Option_Chain_Data[[#This Row],[InterPretation2]]="Long Build UP",Option_Chain_Data[[#This Row],[InterPretation2]]="Short Covering"),"BULLISH",IF(OR(Option_Chain_Data[[#This Row],[InterPretation2]]="Long Liquidation",Option_Chain_Data[[#This Row],[InterPretation2]]="Short Build UP"),"BEARISH",""))</f>
        <v>BEARISH</v>
      </c>
    </row>
    <row r="81" spans="1:23" s="143" customFormat="1" ht="19.8" x14ac:dyDescent="0.4">
      <c r="A81" s="143" t="s">
        <v>123</v>
      </c>
      <c r="B81" s="138" t="str">
        <f>IF(OR(Option_Chain_Data[[#This Row],[InterPretation]]="Long Build UP",Option_Chain_Data[[#This Row],[InterPretation]]="Short Covering"),"BULLISH",IF(OR(Option_Chain_Data[[#This Row],[InterPretation]]="LongLiquidation",Option_Chain_Data[[#This Row],[InterPretation]]="Short Build UP"),"BEARISH",""))</f>
        <v>BEARISH</v>
      </c>
      <c r="C8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1" s="138" t="str">
        <f>IF(Option_Chain_Data[[#This Row],[Call.changeinOpenInterest]]&gt;0,"UP",IF(Option_Chain_Data[[#This Row],[Call.changeinOpenInterest]]&lt;0,"DOWN",""))</f>
        <v>UP</v>
      </c>
      <c r="E81" s="138" t="str">
        <f>IF(Option_Chain_Data[[#This Row],[CAll.change]]&gt;0,"UP",IF(Option_Chain_Data[[#This Row],[CAll.change]]&lt;0,"DOWN",""))</f>
        <v>DOWN</v>
      </c>
      <c r="F81" s="139">
        <v>66796</v>
      </c>
      <c r="G81" s="139">
        <v>28681</v>
      </c>
      <c r="H81" s="139">
        <v>287217</v>
      </c>
      <c r="I81" s="139">
        <v>16.98</v>
      </c>
      <c r="J81" s="139">
        <v>20.9</v>
      </c>
      <c r="K81" s="139">
        <v>-9.5500000000000007</v>
      </c>
      <c r="L81" s="140">
        <v>18350</v>
      </c>
      <c r="M81" s="139">
        <v>-20.25</v>
      </c>
      <c r="N81" s="139">
        <v>145.15</v>
      </c>
      <c r="O81" s="139">
        <v>15.46</v>
      </c>
      <c r="P81" s="139">
        <v>121266</v>
      </c>
      <c r="Q81" s="139">
        <v>11054</v>
      </c>
      <c r="R81" s="139">
        <v>13159</v>
      </c>
      <c r="S81" s="139">
        <v>18227.5</v>
      </c>
      <c r="T81" s="138" t="str">
        <f>IF(Option_Chain_Data[[#This Row],[PUT.change]]&gt;0,"UP",IF(Option_Chain_Data[[#This Row],[PUT.change]]&lt;0,"DOWN",""))</f>
        <v>DOWN</v>
      </c>
      <c r="U81" s="138" t="str">
        <f>IF(Option_Chain_Data[[#This Row],[PUT.changeinOpenInterest]]&gt;0,"UP",IF(Option_Chain_Data[[#This Row],[PUT.changeinOpenInterest]]&lt;0,"DOWN",""))</f>
        <v>UP</v>
      </c>
      <c r="V8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1" s="138" t="str">
        <f>IF(OR(Option_Chain_Data[[#This Row],[InterPretation2]]="Long Build UP",Option_Chain_Data[[#This Row],[InterPretation2]]="Short Covering"),"BULLISH",IF(OR(Option_Chain_Data[[#This Row],[InterPretation2]]="Long Liquidation",Option_Chain_Data[[#This Row],[InterPretation2]]="Short Build UP"),"BEARISH",""))</f>
        <v>BEARISH</v>
      </c>
    </row>
    <row r="82" spans="1:23" s="143" customFormat="1" ht="19.8" x14ac:dyDescent="0.4">
      <c r="A82" s="143" t="s">
        <v>123</v>
      </c>
      <c r="B82" s="138" t="str">
        <f>IF(OR(Option_Chain_Data[[#This Row],[InterPretation]]="Long Build UP",Option_Chain_Data[[#This Row],[InterPretation]]="Short Covering"),"BULLISH",IF(OR(Option_Chain_Data[[#This Row],[InterPretation]]="LongLiquidation",Option_Chain_Data[[#This Row],[InterPretation]]="Short Build UP"),"BEARISH",""))</f>
        <v>BEARISH</v>
      </c>
      <c r="C8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2" s="138" t="str">
        <f>IF(Option_Chain_Data[[#This Row],[Call.changeinOpenInterest]]&gt;0,"UP",IF(Option_Chain_Data[[#This Row],[Call.changeinOpenInterest]]&lt;0,"DOWN",""))</f>
        <v>UP</v>
      </c>
      <c r="E82" s="138" t="str">
        <f>IF(Option_Chain_Data[[#This Row],[CAll.change]]&gt;0,"UP",IF(Option_Chain_Data[[#This Row],[CAll.change]]&lt;0,"DOWN",""))</f>
        <v>DOWN</v>
      </c>
      <c r="F82" s="144">
        <v>141056</v>
      </c>
      <c r="G82" s="144">
        <v>25452</v>
      </c>
      <c r="H82" s="139">
        <v>498802</v>
      </c>
      <c r="I82" s="139">
        <v>16.71</v>
      </c>
      <c r="J82" s="144">
        <v>11.55</v>
      </c>
      <c r="K82" s="144">
        <v>-7.4499999999999993</v>
      </c>
      <c r="L82" s="140">
        <v>18400</v>
      </c>
      <c r="M82" s="144">
        <v>-18.449999999999989</v>
      </c>
      <c r="N82" s="144">
        <v>186.3</v>
      </c>
      <c r="O82" s="139">
        <v>0</v>
      </c>
      <c r="P82" s="139">
        <v>125634</v>
      </c>
      <c r="Q82" s="144">
        <v>13935</v>
      </c>
      <c r="R82" s="144">
        <v>18734</v>
      </c>
      <c r="S82" s="139">
        <v>18222.349999999999</v>
      </c>
      <c r="T82" s="138" t="str">
        <f>IF(Option_Chain_Data[[#This Row],[PUT.change]]&gt;0,"UP",IF(Option_Chain_Data[[#This Row],[PUT.change]]&lt;0,"DOWN",""))</f>
        <v>DOWN</v>
      </c>
      <c r="U82" s="138" t="str">
        <f>IF(Option_Chain_Data[[#This Row],[PUT.changeinOpenInterest]]&gt;0,"UP",IF(Option_Chain_Data[[#This Row],[PUT.changeinOpenInterest]]&lt;0,"DOWN",""))</f>
        <v>UP</v>
      </c>
      <c r="V8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2" s="138" t="str">
        <f>IF(OR(Option_Chain_Data[[#This Row],[InterPretation2]]="Long Build UP",Option_Chain_Data[[#This Row],[InterPretation2]]="Short Covering"),"BULLISH",IF(OR(Option_Chain_Data[[#This Row],[InterPretation2]]="Long Liquidation",Option_Chain_Data[[#This Row],[InterPretation2]]="Short Build UP"),"BEARISH",""))</f>
        <v>BEARISH</v>
      </c>
    </row>
    <row r="83" spans="1:23" s="143" customFormat="1" ht="19.8" x14ac:dyDescent="0.4">
      <c r="A83" s="143" t="s">
        <v>123</v>
      </c>
      <c r="B83" s="138" t="str">
        <f>IF(OR(Option_Chain_Data[[#This Row],[InterPretation]]="Long Build UP",Option_Chain_Data[[#This Row],[InterPretation]]="Short Covering"),"BULLISH",IF(OR(Option_Chain_Data[[#This Row],[InterPretation]]="LongLiquidation",Option_Chain_Data[[#This Row],[InterPretation]]="Short Build UP"),"BEARISH",""))</f>
        <v>BEARISH</v>
      </c>
      <c r="C8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3" s="138" t="str">
        <f>IF(Option_Chain_Data[[#This Row],[Call.changeinOpenInterest]]&gt;0,"UP",IF(Option_Chain_Data[[#This Row],[Call.changeinOpenInterest]]&lt;0,"DOWN",""))</f>
        <v>UP</v>
      </c>
      <c r="E83" s="138" t="str">
        <f>IF(Option_Chain_Data[[#This Row],[CAll.change]]&gt;0,"UP",IF(Option_Chain_Data[[#This Row],[CAll.change]]&lt;0,"DOWN",""))</f>
        <v>DOWN</v>
      </c>
      <c r="F83" s="139">
        <v>80742</v>
      </c>
      <c r="G83" s="139">
        <v>26018</v>
      </c>
      <c r="H83" s="139">
        <v>321416</v>
      </c>
      <c r="I83" s="139">
        <v>16.8</v>
      </c>
      <c r="J83" s="139">
        <v>6.25</v>
      </c>
      <c r="K83" s="139">
        <v>-5.6</v>
      </c>
      <c r="L83" s="140">
        <v>18450</v>
      </c>
      <c r="M83" s="139">
        <v>-16.900000000000006</v>
      </c>
      <c r="N83" s="139">
        <v>230.1</v>
      </c>
      <c r="O83" s="139">
        <v>11.91</v>
      </c>
      <c r="P83" s="139">
        <v>21740</v>
      </c>
      <c r="Q83" s="139">
        <v>1851</v>
      </c>
      <c r="R83" s="139">
        <v>2768</v>
      </c>
      <c r="S83" s="139">
        <v>18227.5</v>
      </c>
      <c r="T83" s="138" t="str">
        <f>IF(Option_Chain_Data[[#This Row],[PUT.change]]&gt;0,"UP",IF(Option_Chain_Data[[#This Row],[PUT.change]]&lt;0,"DOWN",""))</f>
        <v>DOWN</v>
      </c>
      <c r="U83" s="138" t="str">
        <f>IF(Option_Chain_Data[[#This Row],[PUT.changeinOpenInterest]]&gt;0,"UP",IF(Option_Chain_Data[[#This Row],[PUT.changeinOpenInterest]]&lt;0,"DOWN",""))</f>
        <v>UP</v>
      </c>
      <c r="V8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3" s="138" t="str">
        <f>IF(OR(Option_Chain_Data[[#This Row],[InterPretation2]]="Long Build UP",Option_Chain_Data[[#This Row],[InterPretation2]]="Short Covering"),"BULLISH",IF(OR(Option_Chain_Data[[#This Row],[InterPretation2]]="Long Liquidation",Option_Chain_Data[[#This Row],[InterPretation2]]="Short Build UP"),"BEARISH",""))</f>
        <v>BEARISH</v>
      </c>
    </row>
    <row r="84" spans="1:23" s="143" customFormat="1" ht="19.8" x14ac:dyDescent="0.4">
      <c r="A84" s="143" t="s">
        <v>123</v>
      </c>
      <c r="B84" s="138" t="str">
        <f>IF(OR(Option_Chain_Data[[#This Row],[InterPretation]]="Long Build UP",Option_Chain_Data[[#This Row],[InterPretation]]="Short Covering"),"BULLISH",IF(OR(Option_Chain_Data[[#This Row],[InterPretation]]="LongLiquidation",Option_Chain_Data[[#This Row],[InterPretation]]="Short Build UP"),"BEARISH",""))</f>
        <v>BEARISH</v>
      </c>
      <c r="C8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4" s="138" t="str">
        <f>IF(Option_Chain_Data[[#This Row],[Call.changeinOpenInterest]]&gt;0,"UP",IF(Option_Chain_Data[[#This Row],[Call.changeinOpenInterest]]&lt;0,"DOWN",""))</f>
        <v>UP</v>
      </c>
      <c r="E84" s="138" t="str">
        <f>IF(Option_Chain_Data[[#This Row],[CAll.change]]&gt;0,"UP",IF(Option_Chain_Data[[#This Row],[CAll.change]]&lt;0,"DOWN",""))</f>
        <v>DOWN</v>
      </c>
      <c r="F84" s="144">
        <v>160320</v>
      </c>
      <c r="G84" s="144">
        <v>27461</v>
      </c>
      <c r="H84" s="139">
        <v>539043</v>
      </c>
      <c r="I84" s="139">
        <v>17.399999999999999</v>
      </c>
      <c r="J84" s="144">
        <v>3.8</v>
      </c>
      <c r="K84" s="144">
        <v>-3.6000000000000005</v>
      </c>
      <c r="L84" s="140">
        <v>18500</v>
      </c>
      <c r="M84" s="144">
        <v>-15.699999999999989</v>
      </c>
      <c r="N84" s="144">
        <v>277.8</v>
      </c>
      <c r="O84" s="139">
        <v>0</v>
      </c>
      <c r="P84" s="139">
        <v>34556</v>
      </c>
      <c r="Q84" s="144">
        <v>920</v>
      </c>
      <c r="R84" s="144">
        <v>5380</v>
      </c>
      <c r="S84" s="139">
        <v>18227.5</v>
      </c>
      <c r="T84" s="138" t="str">
        <f>IF(Option_Chain_Data[[#This Row],[PUT.change]]&gt;0,"UP",IF(Option_Chain_Data[[#This Row],[PUT.change]]&lt;0,"DOWN",""))</f>
        <v>DOWN</v>
      </c>
      <c r="U84" s="138" t="str">
        <f>IF(Option_Chain_Data[[#This Row],[PUT.changeinOpenInterest]]&gt;0,"UP",IF(Option_Chain_Data[[#This Row],[PUT.changeinOpenInterest]]&lt;0,"DOWN",""))</f>
        <v>UP</v>
      </c>
      <c r="V8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4" s="138" t="str">
        <f>IF(OR(Option_Chain_Data[[#This Row],[InterPretation2]]="Long Build UP",Option_Chain_Data[[#This Row],[InterPretation2]]="Short Covering"),"BULLISH",IF(OR(Option_Chain_Data[[#This Row],[InterPretation2]]="Long Liquidation",Option_Chain_Data[[#This Row],[InterPretation2]]="Short Build UP"),"BEARISH",""))</f>
        <v>BEARISH</v>
      </c>
    </row>
    <row r="85" spans="1:23" s="143" customFormat="1" ht="19.8" x14ac:dyDescent="0.4">
      <c r="A85" s="143" t="s">
        <v>123</v>
      </c>
      <c r="B85" s="138" t="str">
        <f>IF(OR(Option_Chain_Data[[#This Row],[InterPretation]]="Long Build UP",Option_Chain_Data[[#This Row],[InterPretation]]="Short Covering"),"BULLISH",IF(OR(Option_Chain_Data[[#This Row],[InterPretation]]="LongLiquidation",Option_Chain_Data[[#This Row],[InterPretation]]="Short Build UP"),"BEARISH",""))</f>
        <v>BEARISH</v>
      </c>
      <c r="C8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5" s="138" t="str">
        <f>IF(Option_Chain_Data[[#This Row],[Call.changeinOpenInterest]]&gt;0,"UP",IF(Option_Chain_Data[[#This Row],[Call.changeinOpenInterest]]&lt;0,"DOWN",""))</f>
        <v>UP</v>
      </c>
      <c r="E85" s="138" t="str">
        <f>IF(Option_Chain_Data[[#This Row],[CAll.change]]&gt;0,"UP",IF(Option_Chain_Data[[#This Row],[CAll.change]]&lt;0,"DOWN",""))</f>
        <v>DOWN</v>
      </c>
      <c r="F85" s="139">
        <v>55590</v>
      </c>
      <c r="G85" s="139">
        <v>13596</v>
      </c>
      <c r="H85" s="139">
        <v>176289</v>
      </c>
      <c r="I85" s="139">
        <v>18.5</v>
      </c>
      <c r="J85" s="139">
        <v>2.4500000000000002</v>
      </c>
      <c r="K85" s="139">
        <v>-2.25</v>
      </c>
      <c r="L85" s="140">
        <v>18550</v>
      </c>
      <c r="M85" s="139">
        <v>-14.099999999999966</v>
      </c>
      <c r="N85" s="139">
        <v>326.3</v>
      </c>
      <c r="O85" s="139">
        <v>0</v>
      </c>
      <c r="P85" s="139">
        <v>1399</v>
      </c>
      <c r="Q85" s="139">
        <v>10</v>
      </c>
      <c r="R85" s="139">
        <v>490</v>
      </c>
      <c r="S85" s="139">
        <v>18227.5</v>
      </c>
      <c r="T85" s="138" t="str">
        <f>IF(Option_Chain_Data[[#This Row],[PUT.change]]&gt;0,"UP",IF(Option_Chain_Data[[#This Row],[PUT.change]]&lt;0,"DOWN",""))</f>
        <v>DOWN</v>
      </c>
      <c r="U85" s="138" t="str">
        <f>IF(Option_Chain_Data[[#This Row],[PUT.changeinOpenInterest]]&gt;0,"UP",IF(Option_Chain_Data[[#This Row],[PUT.changeinOpenInterest]]&lt;0,"DOWN",""))</f>
        <v>UP</v>
      </c>
      <c r="V8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5" s="138" t="str">
        <f>IF(OR(Option_Chain_Data[[#This Row],[InterPretation2]]="Long Build UP",Option_Chain_Data[[#This Row],[InterPretation2]]="Short Covering"),"BULLISH",IF(OR(Option_Chain_Data[[#This Row],[InterPretation2]]="Long Liquidation",Option_Chain_Data[[#This Row],[InterPretation2]]="Short Build UP"),"BEARISH",""))</f>
        <v>BEARISH</v>
      </c>
    </row>
    <row r="86" spans="1:23" s="143" customFormat="1" ht="19.8" x14ac:dyDescent="0.4">
      <c r="A86" s="143" t="s">
        <v>123</v>
      </c>
      <c r="B86" s="138" t="str">
        <f>IF(OR(Option_Chain_Data[[#This Row],[InterPretation]]="Long Build UP",Option_Chain_Data[[#This Row],[InterPretation]]="Short Covering"),"BULLISH",IF(OR(Option_Chain_Data[[#This Row],[InterPretation]]="LongLiquidation",Option_Chain_Data[[#This Row],[InterPretation]]="Short Build UP"),"BEARISH",""))</f>
        <v>BEARISH</v>
      </c>
      <c r="C8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6" s="138" t="str">
        <f>IF(Option_Chain_Data[[#This Row],[Call.changeinOpenInterest]]&gt;0,"UP",IF(Option_Chain_Data[[#This Row],[Call.changeinOpenInterest]]&lt;0,"DOWN",""))</f>
        <v>UP</v>
      </c>
      <c r="E86" s="138" t="str">
        <f>IF(Option_Chain_Data[[#This Row],[CAll.change]]&gt;0,"UP",IF(Option_Chain_Data[[#This Row],[CAll.change]]&lt;0,"DOWN",""))</f>
        <v>DOWN</v>
      </c>
      <c r="F86" s="139">
        <v>129533</v>
      </c>
      <c r="G86" s="139">
        <v>31436</v>
      </c>
      <c r="H86" s="139">
        <v>306863</v>
      </c>
      <c r="I86" s="139">
        <v>19.670000000000002</v>
      </c>
      <c r="J86" s="139">
        <v>1.85</v>
      </c>
      <c r="K86" s="139">
        <v>-1.2999999999999998</v>
      </c>
      <c r="L86" s="140">
        <v>18600</v>
      </c>
      <c r="M86" s="139">
        <v>-12.199999999999989</v>
      </c>
      <c r="N86" s="139">
        <v>376.55</v>
      </c>
      <c r="O86" s="139">
        <v>0</v>
      </c>
      <c r="P86" s="139">
        <v>3440</v>
      </c>
      <c r="Q86" s="139">
        <v>109</v>
      </c>
      <c r="R86" s="139">
        <v>1115</v>
      </c>
      <c r="S86" s="139">
        <v>18227.5</v>
      </c>
      <c r="T86" s="138" t="str">
        <f>IF(Option_Chain_Data[[#This Row],[PUT.change]]&gt;0,"UP",IF(Option_Chain_Data[[#This Row],[PUT.change]]&lt;0,"DOWN",""))</f>
        <v>DOWN</v>
      </c>
      <c r="U86" s="138" t="str">
        <f>IF(Option_Chain_Data[[#This Row],[PUT.changeinOpenInterest]]&gt;0,"UP",IF(Option_Chain_Data[[#This Row],[PUT.changeinOpenInterest]]&lt;0,"DOWN",""))</f>
        <v>UP</v>
      </c>
      <c r="V8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6" s="138" t="str">
        <f>IF(OR(Option_Chain_Data[[#This Row],[InterPretation2]]="Long Build UP",Option_Chain_Data[[#This Row],[InterPretation2]]="Short Covering"),"BULLISH",IF(OR(Option_Chain_Data[[#This Row],[InterPretation2]]="Long Liquidation",Option_Chain_Data[[#This Row],[InterPretation2]]="Short Build UP"),"BEARISH",""))</f>
        <v>BEARISH</v>
      </c>
    </row>
    <row r="87" spans="1:23" s="143" customFormat="1" ht="19.8" x14ac:dyDescent="0.4">
      <c r="A87" s="143" t="s">
        <v>123</v>
      </c>
      <c r="B87" s="138" t="str">
        <f>IF(OR(Option_Chain_Data[[#This Row],[InterPretation]]="Long Build UP",Option_Chain_Data[[#This Row],[InterPretation]]="Short Covering"),"BULLISH",IF(OR(Option_Chain_Data[[#This Row],[InterPretation]]="LongLiquidation",Option_Chain_Data[[#This Row],[InterPretation]]="Short Build UP"),"BEARISH",""))</f>
        <v>BEARISH</v>
      </c>
      <c r="C8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7" s="138" t="str">
        <f>IF(Option_Chain_Data[[#This Row],[Call.changeinOpenInterest]]&gt;0,"UP",IF(Option_Chain_Data[[#This Row],[Call.changeinOpenInterest]]&lt;0,"DOWN",""))</f>
        <v>UP</v>
      </c>
      <c r="E87" s="138" t="str">
        <f>IF(Option_Chain_Data[[#This Row],[CAll.change]]&gt;0,"UP",IF(Option_Chain_Data[[#This Row],[CAll.change]]&lt;0,"DOWN",""))</f>
        <v>DOWN</v>
      </c>
      <c r="F87" s="144">
        <v>36134</v>
      </c>
      <c r="G87" s="144">
        <v>7181</v>
      </c>
      <c r="H87" s="139">
        <v>84693</v>
      </c>
      <c r="I87" s="139">
        <v>21.13</v>
      </c>
      <c r="J87" s="144">
        <v>1.5</v>
      </c>
      <c r="K87" s="144">
        <v>-0.64999999999999991</v>
      </c>
      <c r="L87" s="140">
        <v>18650</v>
      </c>
      <c r="M87" s="144">
        <v>-13.699999999999989</v>
      </c>
      <c r="N87" s="144">
        <v>424.8</v>
      </c>
      <c r="O87" s="139">
        <v>0</v>
      </c>
      <c r="P87" s="139">
        <v>291</v>
      </c>
      <c r="Q87" s="144">
        <v>199</v>
      </c>
      <c r="R87" s="144">
        <v>264</v>
      </c>
      <c r="S87" s="139">
        <v>18222.349999999999</v>
      </c>
      <c r="T87" s="138" t="str">
        <f>IF(Option_Chain_Data[[#This Row],[PUT.change]]&gt;0,"UP",IF(Option_Chain_Data[[#This Row],[PUT.change]]&lt;0,"DOWN",""))</f>
        <v>DOWN</v>
      </c>
      <c r="U87" s="138" t="str">
        <f>IF(Option_Chain_Data[[#This Row],[PUT.changeinOpenInterest]]&gt;0,"UP",IF(Option_Chain_Data[[#This Row],[PUT.changeinOpenInterest]]&lt;0,"DOWN",""))</f>
        <v>UP</v>
      </c>
      <c r="V8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7" s="138" t="str">
        <f>IF(OR(Option_Chain_Data[[#This Row],[InterPretation2]]="Long Build UP",Option_Chain_Data[[#This Row],[InterPretation2]]="Short Covering"),"BULLISH",IF(OR(Option_Chain_Data[[#This Row],[InterPretation2]]="Long Liquidation",Option_Chain_Data[[#This Row],[InterPretation2]]="Short Build UP"),"BEARISH",""))</f>
        <v>BEARISH</v>
      </c>
    </row>
    <row r="88" spans="1:23" s="143" customFormat="1" ht="19.8" x14ac:dyDescent="0.4">
      <c r="A88" s="143" t="s">
        <v>123</v>
      </c>
      <c r="B88" s="138" t="str">
        <f>IF(OR(Option_Chain_Data[[#This Row],[InterPretation]]="Long Build UP",Option_Chain_Data[[#This Row],[InterPretation]]="Short Covering"),"BULLISH",IF(OR(Option_Chain_Data[[#This Row],[InterPretation]]="LongLiquidation",Option_Chain_Data[[#This Row],[InterPretation]]="Short Build UP"),"BEARISH",""))</f>
        <v>BEARISH</v>
      </c>
      <c r="C8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8" s="138" t="str">
        <f>IF(Option_Chain_Data[[#This Row],[Call.changeinOpenInterest]]&gt;0,"UP",IF(Option_Chain_Data[[#This Row],[Call.changeinOpenInterest]]&lt;0,"DOWN",""))</f>
        <v>UP</v>
      </c>
      <c r="E88" s="138" t="str">
        <f>IF(Option_Chain_Data[[#This Row],[CAll.change]]&gt;0,"UP",IF(Option_Chain_Data[[#This Row],[CAll.change]]&lt;0,"DOWN",""))</f>
        <v>DOWN</v>
      </c>
      <c r="F88" s="139">
        <v>153130</v>
      </c>
      <c r="G88" s="139">
        <v>25784</v>
      </c>
      <c r="H88" s="139">
        <v>235351</v>
      </c>
      <c r="I88" s="139">
        <v>22.73</v>
      </c>
      <c r="J88" s="139">
        <v>1.2</v>
      </c>
      <c r="K88" s="139">
        <v>-0.45</v>
      </c>
      <c r="L88" s="140">
        <v>18700</v>
      </c>
      <c r="M88" s="139">
        <v>-10.950000000000044</v>
      </c>
      <c r="N88" s="139">
        <v>476.9</v>
      </c>
      <c r="O88" s="139">
        <v>0</v>
      </c>
      <c r="P88" s="139">
        <v>943</v>
      </c>
      <c r="Q88" s="139">
        <v>83</v>
      </c>
      <c r="R88" s="139">
        <v>291</v>
      </c>
      <c r="S88" s="139">
        <v>18227.5</v>
      </c>
      <c r="T88" s="138" t="str">
        <f>IF(Option_Chain_Data[[#This Row],[PUT.change]]&gt;0,"UP",IF(Option_Chain_Data[[#This Row],[PUT.change]]&lt;0,"DOWN",""))</f>
        <v>DOWN</v>
      </c>
      <c r="U88" s="138" t="str">
        <f>IF(Option_Chain_Data[[#This Row],[PUT.changeinOpenInterest]]&gt;0,"UP",IF(Option_Chain_Data[[#This Row],[PUT.changeinOpenInterest]]&lt;0,"DOWN",""))</f>
        <v>UP</v>
      </c>
      <c r="V8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8" s="138" t="str">
        <f>IF(OR(Option_Chain_Data[[#This Row],[InterPretation2]]="Long Build UP",Option_Chain_Data[[#This Row],[InterPretation2]]="Short Covering"),"BULLISH",IF(OR(Option_Chain_Data[[#This Row],[InterPretation2]]="Long Liquidation",Option_Chain_Data[[#This Row],[InterPretation2]]="Short Build UP"),"BEARISH",""))</f>
        <v>BEARISH</v>
      </c>
    </row>
    <row r="89" spans="1:23" s="143" customFormat="1" ht="19.8" x14ac:dyDescent="0.4">
      <c r="A89" s="143" t="s">
        <v>123</v>
      </c>
      <c r="B89" s="138" t="str">
        <f>IF(OR(Option_Chain_Data[[#This Row],[InterPretation]]="Long Build UP",Option_Chain_Data[[#This Row],[InterPretation]]="Short Covering"),"BULLISH",IF(OR(Option_Chain_Data[[#This Row],[InterPretation]]="LongLiquidation",Option_Chain_Data[[#This Row],[InterPretation]]="Short Build UP"),"BEARISH",""))</f>
        <v/>
      </c>
      <c r="C8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9" s="138" t="str">
        <f>IF(Option_Chain_Data[[#This Row],[Call.changeinOpenInterest]]&gt;0,"UP",IF(Option_Chain_Data[[#This Row],[Call.changeinOpenInterest]]&lt;0,"DOWN",""))</f>
        <v>DOWN</v>
      </c>
      <c r="E89" s="138" t="str">
        <f>IF(Option_Chain_Data[[#This Row],[CAll.change]]&gt;0,"UP",IF(Option_Chain_Data[[#This Row],[CAll.change]]&lt;0,"DOWN",""))</f>
        <v>DOWN</v>
      </c>
      <c r="F89" s="139">
        <v>20156</v>
      </c>
      <c r="G89" s="139">
        <v>-2522</v>
      </c>
      <c r="H89" s="139">
        <v>36218</v>
      </c>
      <c r="I89" s="139">
        <v>24.29</v>
      </c>
      <c r="J89" s="139">
        <v>1.05</v>
      </c>
      <c r="K89" s="139">
        <v>-0.25</v>
      </c>
      <c r="L89" s="140">
        <v>18750</v>
      </c>
      <c r="M89" s="139">
        <v>-21.150000000000031</v>
      </c>
      <c r="N89" s="139">
        <v>510.3</v>
      </c>
      <c r="O89" s="139">
        <v>0</v>
      </c>
      <c r="P89" s="139">
        <v>28</v>
      </c>
      <c r="Q89" s="139">
        <v>4</v>
      </c>
      <c r="R89" s="139">
        <v>15</v>
      </c>
      <c r="S89" s="139">
        <v>18227.5</v>
      </c>
      <c r="T89" s="138" t="str">
        <f>IF(Option_Chain_Data[[#This Row],[PUT.change]]&gt;0,"UP",IF(Option_Chain_Data[[#This Row],[PUT.change]]&lt;0,"DOWN",""))</f>
        <v>DOWN</v>
      </c>
      <c r="U89" s="138" t="str">
        <f>IF(Option_Chain_Data[[#This Row],[PUT.changeinOpenInterest]]&gt;0,"UP",IF(Option_Chain_Data[[#This Row],[PUT.changeinOpenInterest]]&lt;0,"DOWN",""))</f>
        <v>UP</v>
      </c>
      <c r="V8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9" s="138" t="str">
        <f>IF(OR(Option_Chain_Data[[#This Row],[InterPretation2]]="Long Build UP",Option_Chain_Data[[#This Row],[InterPretation2]]="Short Covering"),"BULLISH",IF(OR(Option_Chain_Data[[#This Row],[InterPretation2]]="Long Liquidation",Option_Chain_Data[[#This Row],[InterPretation2]]="Short Build UP"),"BEARISH",""))</f>
        <v>BEARISH</v>
      </c>
    </row>
    <row r="90" spans="1:23" s="143" customFormat="1" ht="19.8" x14ac:dyDescent="0.4">
      <c r="A90" s="143" t="s">
        <v>123</v>
      </c>
      <c r="B90" s="138" t="str">
        <f>IF(OR(Option_Chain_Data[[#This Row],[InterPretation]]="Long Build UP",Option_Chain_Data[[#This Row],[InterPretation]]="Short Covering"),"BULLISH",IF(OR(Option_Chain_Data[[#This Row],[InterPretation]]="LongLiquidation",Option_Chain_Data[[#This Row],[InterPretation]]="Short Build UP"),"BEARISH",""))</f>
        <v/>
      </c>
      <c r="C9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90" s="138" t="str">
        <f>IF(Option_Chain_Data[[#This Row],[Call.changeinOpenInterest]]&gt;0,"UP",IF(Option_Chain_Data[[#This Row],[Call.changeinOpenInterest]]&lt;0,"DOWN",""))</f>
        <v>DOWN</v>
      </c>
      <c r="E90" s="138" t="str">
        <f>IF(Option_Chain_Data[[#This Row],[CAll.change]]&gt;0,"UP",IF(Option_Chain_Data[[#This Row],[CAll.change]]&lt;0,"DOWN",""))</f>
        <v>DOWN</v>
      </c>
      <c r="F90" s="139">
        <v>82953</v>
      </c>
      <c r="G90" s="139">
        <v>-186</v>
      </c>
      <c r="H90" s="139">
        <v>85833</v>
      </c>
      <c r="I90" s="139">
        <v>26.08</v>
      </c>
      <c r="J90" s="139">
        <v>0.95</v>
      </c>
      <c r="K90" s="139">
        <v>-0.19999999999999996</v>
      </c>
      <c r="L90" s="140">
        <v>18800</v>
      </c>
      <c r="M90" s="139">
        <v>-10.450000000000044</v>
      </c>
      <c r="N90" s="139">
        <v>576.25</v>
      </c>
      <c r="O90" s="139">
        <v>24.47</v>
      </c>
      <c r="P90" s="139">
        <v>292</v>
      </c>
      <c r="Q90" s="139">
        <v>156</v>
      </c>
      <c r="R90" s="139">
        <v>225</v>
      </c>
      <c r="S90" s="139">
        <v>18222.349999999999</v>
      </c>
      <c r="T90" s="138" t="str">
        <f>IF(Option_Chain_Data[[#This Row],[PUT.change]]&gt;0,"UP",IF(Option_Chain_Data[[#This Row],[PUT.change]]&lt;0,"DOWN",""))</f>
        <v>DOWN</v>
      </c>
      <c r="U90" s="138" t="str">
        <f>IF(Option_Chain_Data[[#This Row],[PUT.changeinOpenInterest]]&gt;0,"UP",IF(Option_Chain_Data[[#This Row],[PUT.changeinOpenInterest]]&lt;0,"DOWN",""))</f>
        <v>UP</v>
      </c>
      <c r="V9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90" s="138" t="str">
        <f>IF(OR(Option_Chain_Data[[#This Row],[InterPretation2]]="Long Build UP",Option_Chain_Data[[#This Row],[InterPretation2]]="Short Covering"),"BULLISH",IF(OR(Option_Chain_Data[[#This Row],[InterPretation2]]="Long Liquidation",Option_Chain_Data[[#This Row],[InterPretation2]]="Short Build UP"),"BEARISH",""))</f>
        <v>BEARISH</v>
      </c>
    </row>
    <row r="91" spans="1:23" s="143" customFormat="1" ht="19.8" x14ac:dyDescent="0.4">
      <c r="A91" s="143" t="s">
        <v>123</v>
      </c>
      <c r="B91" s="138" t="str">
        <f>IF(OR(Option_Chain_Data[[#This Row],[InterPretation]]="Long Build UP",Option_Chain_Data[[#This Row],[InterPretation]]="Short Covering"),"BULLISH",IF(OR(Option_Chain_Data[[#This Row],[InterPretation]]="LongLiquidation",Option_Chain_Data[[#This Row],[InterPretation]]="Short Build UP"),"BEARISH",""))</f>
        <v/>
      </c>
      <c r="C9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91" s="138" t="str">
        <f>IF(Option_Chain_Data[[#This Row],[Call.changeinOpenInterest]]&gt;0,"UP",IF(Option_Chain_Data[[#This Row],[Call.changeinOpenInterest]]&lt;0,"DOWN",""))</f>
        <v>DOWN</v>
      </c>
      <c r="E91" s="138" t="str">
        <f>IF(Option_Chain_Data[[#This Row],[CAll.change]]&gt;0,"UP",IF(Option_Chain_Data[[#This Row],[CAll.change]]&lt;0,"DOWN",""))</f>
        <v>DOWN</v>
      </c>
      <c r="F91" s="139">
        <v>11610</v>
      </c>
      <c r="G91" s="139">
        <v>-591</v>
      </c>
      <c r="H91" s="139">
        <v>13515</v>
      </c>
      <c r="I91" s="139">
        <v>27.69</v>
      </c>
      <c r="J91" s="139">
        <v>0.9</v>
      </c>
      <c r="K91" s="139">
        <v>-0.20000000000000007</v>
      </c>
      <c r="L91" s="140">
        <v>18850</v>
      </c>
      <c r="M91" s="139">
        <v>-99.049999999999955</v>
      </c>
      <c r="N91" s="139">
        <v>622.75</v>
      </c>
      <c r="O91" s="139">
        <v>0</v>
      </c>
      <c r="P91" s="139">
        <v>8</v>
      </c>
      <c r="Q91" s="139">
        <v>2</v>
      </c>
      <c r="R91" s="139">
        <v>23</v>
      </c>
      <c r="S91" s="139">
        <v>18222.349999999999</v>
      </c>
      <c r="T91" s="138" t="str">
        <f>IF(Option_Chain_Data[[#This Row],[PUT.change]]&gt;0,"UP",IF(Option_Chain_Data[[#This Row],[PUT.change]]&lt;0,"DOWN",""))</f>
        <v>DOWN</v>
      </c>
      <c r="U91" s="138" t="str">
        <f>IF(Option_Chain_Data[[#This Row],[PUT.changeinOpenInterest]]&gt;0,"UP",IF(Option_Chain_Data[[#This Row],[PUT.changeinOpenInterest]]&lt;0,"DOWN",""))</f>
        <v>UP</v>
      </c>
      <c r="V9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91" s="138" t="str">
        <f>IF(OR(Option_Chain_Data[[#This Row],[InterPretation2]]="Long Build UP",Option_Chain_Data[[#This Row],[InterPretation2]]="Short Covering"),"BULLISH",IF(OR(Option_Chain_Data[[#This Row],[InterPretation2]]="Long Liquidation",Option_Chain_Data[[#This Row],[InterPretation2]]="Short Build UP"),"BEARISH",""))</f>
        <v>BEARISH</v>
      </c>
    </row>
    <row r="92" spans="1:23" ht="19.8" x14ac:dyDescent="0.4">
      <c r="A92" s="143" t="s">
        <v>123</v>
      </c>
      <c r="B92" s="138" t="str">
        <f>IF(OR(Option_Chain_Data[[#This Row],[InterPretation]]="Long Build UP",Option_Chain_Data[[#This Row],[InterPretation]]="Short Covering"),"BULLISH",IF(OR(Option_Chain_Data[[#This Row],[InterPretation]]="LongLiquidation",Option_Chain_Data[[#This Row],[InterPretation]]="Short Build UP"),"BEARISH",""))</f>
        <v/>
      </c>
      <c r="C9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92" s="138" t="str">
        <f>IF(Option_Chain_Data[[#This Row],[Call.changeinOpenInterest]]&gt;0,"UP",IF(Option_Chain_Data[[#This Row],[Call.changeinOpenInterest]]&lt;0,"DOWN",""))</f>
        <v>DOWN</v>
      </c>
      <c r="E92" s="138" t="str">
        <f>IF(Option_Chain_Data[[#This Row],[CAll.change]]&gt;0,"UP",IF(Option_Chain_Data[[#This Row],[CAll.change]]&lt;0,"DOWN",""))</f>
        <v>DOWN</v>
      </c>
      <c r="F92" s="139">
        <v>18466</v>
      </c>
      <c r="G92" s="139">
        <v>-972</v>
      </c>
      <c r="H92" s="139">
        <v>35184</v>
      </c>
      <c r="I92" s="139">
        <v>29.59</v>
      </c>
      <c r="J92" s="139">
        <v>0.95</v>
      </c>
      <c r="K92" s="139">
        <v>-0.19999999999999996</v>
      </c>
      <c r="L92" s="140">
        <v>18900</v>
      </c>
      <c r="M92" s="139">
        <v>-46.299999999999955</v>
      </c>
      <c r="N92" s="139">
        <v>644</v>
      </c>
      <c r="O92" s="139">
        <v>0</v>
      </c>
      <c r="P92" s="139">
        <v>30</v>
      </c>
      <c r="Q92" s="139">
        <v>25</v>
      </c>
      <c r="R92" s="139">
        <v>56</v>
      </c>
      <c r="S92" s="139">
        <v>18222.349999999999</v>
      </c>
      <c r="T92" s="138" t="str">
        <f>IF(Option_Chain_Data[[#This Row],[PUT.change]]&gt;0,"UP",IF(Option_Chain_Data[[#This Row],[PUT.change]]&lt;0,"DOWN",""))</f>
        <v>DOWN</v>
      </c>
      <c r="U92" s="138" t="str">
        <f>IF(Option_Chain_Data[[#This Row],[PUT.changeinOpenInterest]]&gt;0,"UP",IF(Option_Chain_Data[[#This Row],[PUT.changeinOpenInterest]]&lt;0,"DOWN",""))</f>
        <v>UP</v>
      </c>
      <c r="V9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92" s="138" t="str">
        <f>IF(OR(Option_Chain_Data[[#This Row],[InterPretation2]]="Long Build UP",Option_Chain_Data[[#This Row],[InterPretation2]]="Short Covering"),"BULLISH",IF(OR(Option_Chain_Data[[#This Row],[InterPretation2]]="Long Liquidation",Option_Chain_Data[[#This Row],[InterPretation2]]="Short Build UP"),"BEARISH",""))</f>
        <v>BEARISH</v>
      </c>
    </row>
    <row r="93" spans="1:23" s="143" customFormat="1" ht="19.8" x14ac:dyDescent="0.4">
      <c r="A93" s="143" t="s">
        <v>123</v>
      </c>
      <c r="B93" s="138" t="str">
        <f>IF(OR(Option_Chain_Data[[#This Row],[InterPretation]]="Long Build UP",Option_Chain_Data[[#This Row],[InterPretation]]="Short Covering"),"BULLISH",IF(OR(Option_Chain_Data[[#This Row],[InterPretation]]="LongLiquidation",Option_Chain_Data[[#This Row],[InterPretation]]="Short Build UP"),"BEARISH",""))</f>
        <v>BEARISH</v>
      </c>
      <c r="C9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93" s="138" t="str">
        <f>IF(Option_Chain_Data[[#This Row],[Call.changeinOpenInterest]]&gt;0,"UP",IF(Option_Chain_Data[[#This Row],[Call.changeinOpenInterest]]&lt;0,"DOWN",""))</f>
        <v>UP</v>
      </c>
      <c r="E93" s="138" t="str">
        <f>IF(Option_Chain_Data[[#This Row],[CAll.change]]&gt;0,"UP",IF(Option_Chain_Data[[#This Row],[CAll.change]]&lt;0,"DOWN",""))</f>
        <v>DOWN</v>
      </c>
      <c r="F93" s="139">
        <v>4806</v>
      </c>
      <c r="G93" s="139">
        <v>2202</v>
      </c>
      <c r="H93" s="139">
        <v>7555</v>
      </c>
      <c r="I93" s="139">
        <v>31.25</v>
      </c>
      <c r="J93" s="139">
        <v>0.95</v>
      </c>
      <c r="K93" s="139">
        <v>-0.19999999999999996</v>
      </c>
      <c r="L93" s="140">
        <v>18950</v>
      </c>
      <c r="M93" s="139">
        <v>-577.29999999999995</v>
      </c>
      <c r="N93" s="139">
        <v>677.75</v>
      </c>
      <c r="O93" s="139">
        <v>0</v>
      </c>
      <c r="P93" s="139">
        <v>2</v>
      </c>
      <c r="Q93" s="139">
        <v>0</v>
      </c>
      <c r="R93" s="139">
        <v>0</v>
      </c>
      <c r="S93" s="139">
        <v>18227.5</v>
      </c>
      <c r="T93" s="138" t="str">
        <f>IF(Option_Chain_Data[[#This Row],[PUT.change]]&gt;0,"UP",IF(Option_Chain_Data[[#This Row],[PUT.change]]&lt;0,"DOWN",""))</f>
        <v>DOWN</v>
      </c>
      <c r="U93" s="138" t="str">
        <f>IF(Option_Chain_Data[[#This Row],[PUT.changeinOpenInterest]]&gt;0,"UP",IF(Option_Chain_Data[[#This Row],[PUT.changeinOpenInterest]]&lt;0,"DOWN",""))</f>
        <v/>
      </c>
      <c r="V9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3" s="138" t="str">
        <f>IF(OR(Option_Chain_Data[[#This Row],[InterPretation2]]="Long Build UP",Option_Chain_Data[[#This Row],[InterPretation2]]="Short Covering"),"BULLISH",IF(OR(Option_Chain_Data[[#This Row],[InterPretation2]]="Long Liquidation",Option_Chain_Data[[#This Row],[InterPretation2]]="Short Build UP"),"BEARISH",""))</f>
        <v/>
      </c>
    </row>
    <row r="94" spans="1:23" ht="19.8" x14ac:dyDescent="0.4">
      <c r="A94" s="143" t="s">
        <v>123</v>
      </c>
      <c r="B94" s="138" t="str">
        <f>IF(OR(Option_Chain_Data[[#This Row],[InterPretation]]="Long Build UP",Option_Chain_Data[[#This Row],[InterPretation]]="Short Covering"),"BULLISH",IF(OR(Option_Chain_Data[[#This Row],[InterPretation]]="LongLiquidation",Option_Chain_Data[[#This Row],[InterPretation]]="Short Build UP"),"BEARISH",""))</f>
        <v/>
      </c>
      <c r="C9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94" s="138" t="str">
        <f>IF(Option_Chain_Data[[#This Row],[Call.changeinOpenInterest]]&gt;0,"UP",IF(Option_Chain_Data[[#This Row],[Call.changeinOpenInterest]]&lt;0,"DOWN",""))</f>
        <v>DOWN</v>
      </c>
      <c r="E94" s="138" t="str">
        <f>IF(Option_Chain_Data[[#This Row],[CAll.change]]&gt;0,"UP",IF(Option_Chain_Data[[#This Row],[CAll.change]]&lt;0,"DOWN",""))</f>
        <v>DOWN</v>
      </c>
      <c r="F94" s="139">
        <v>191905</v>
      </c>
      <c r="G94" s="139">
        <v>-934</v>
      </c>
      <c r="H94" s="139">
        <v>84053</v>
      </c>
      <c r="I94" s="139">
        <v>33.229999999999997</v>
      </c>
      <c r="J94" s="139">
        <v>0.9</v>
      </c>
      <c r="K94" s="139">
        <v>-0.24999999999999989</v>
      </c>
      <c r="L94" s="140">
        <v>19000</v>
      </c>
      <c r="M94" s="139">
        <v>-11.649999999999975</v>
      </c>
      <c r="N94" s="139">
        <v>775.75</v>
      </c>
      <c r="O94" s="139">
        <v>35.17</v>
      </c>
      <c r="P94" s="139">
        <v>50</v>
      </c>
      <c r="Q94" s="139">
        <v>-12</v>
      </c>
      <c r="R94" s="139">
        <v>85</v>
      </c>
      <c r="S94" s="139">
        <v>18222.349999999999</v>
      </c>
      <c r="T94" s="138" t="str">
        <f>IF(Option_Chain_Data[[#This Row],[PUT.change]]&gt;0,"UP",IF(Option_Chain_Data[[#This Row],[PUT.change]]&lt;0,"DOWN",""))</f>
        <v>DOWN</v>
      </c>
      <c r="U94" s="138" t="str">
        <f>IF(Option_Chain_Data[[#This Row],[PUT.changeinOpenInterest]]&gt;0,"UP",IF(Option_Chain_Data[[#This Row],[PUT.changeinOpenInterest]]&lt;0,"DOWN",""))</f>
        <v>DOWN</v>
      </c>
      <c r="V9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94" s="138" t="str">
        <f>IF(OR(Option_Chain_Data[[#This Row],[InterPretation2]]="Long Build UP",Option_Chain_Data[[#This Row],[InterPretation2]]="Short Covering"),"BULLISH",IF(OR(Option_Chain_Data[[#This Row],[InterPretation2]]="Long Liquidation",Option_Chain_Data[[#This Row],[InterPretation2]]="Short Build UP"),"BEARISH",""))</f>
        <v>BEARISH</v>
      </c>
    </row>
    <row r="95" spans="1:23" s="143" customFormat="1" ht="19.8" x14ac:dyDescent="0.4">
      <c r="A95" s="143" t="s">
        <v>123</v>
      </c>
      <c r="B95" s="138" t="str">
        <f>IF(OR(Option_Chain_Data[[#This Row],[InterPretation]]="Long Build UP",Option_Chain_Data[[#This Row],[InterPretation]]="Short Covering"),"BULLISH",IF(OR(Option_Chain_Data[[#This Row],[InterPretation]]="LongLiquidation",Option_Chain_Data[[#This Row],[InterPretation]]="Short Build UP"),"BEARISH",""))</f>
        <v>BEARISH</v>
      </c>
      <c r="C9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95" s="138" t="str">
        <f>IF(Option_Chain_Data[[#This Row],[Call.changeinOpenInterest]]&gt;0,"UP",IF(Option_Chain_Data[[#This Row],[Call.changeinOpenInterest]]&lt;0,"DOWN",""))</f>
        <v>UP</v>
      </c>
      <c r="E95" s="138" t="str">
        <f>IF(Option_Chain_Data[[#This Row],[CAll.change]]&gt;0,"UP",IF(Option_Chain_Data[[#This Row],[CAll.change]]&lt;0,"DOWN",""))</f>
        <v>DOWN</v>
      </c>
      <c r="F95" s="139">
        <v>1949</v>
      </c>
      <c r="G95" s="139">
        <v>252</v>
      </c>
      <c r="H95" s="139">
        <v>2083</v>
      </c>
      <c r="I95" s="139">
        <v>34.93</v>
      </c>
      <c r="J95" s="139">
        <v>0.9</v>
      </c>
      <c r="K95" s="139">
        <v>-9.9999999999999978E-2</v>
      </c>
      <c r="L95" s="140">
        <v>19050</v>
      </c>
      <c r="M95" s="139">
        <v>-515.15000000000009</v>
      </c>
      <c r="N95" s="139">
        <v>814.25</v>
      </c>
      <c r="O95" s="139">
        <v>0</v>
      </c>
      <c r="P95" s="139">
        <v>4</v>
      </c>
      <c r="Q95" s="139">
        <v>2</v>
      </c>
      <c r="R95" s="139">
        <v>2</v>
      </c>
      <c r="S95" s="139">
        <v>18222.349999999999</v>
      </c>
      <c r="T95" s="138" t="str">
        <f>IF(Option_Chain_Data[[#This Row],[PUT.change]]&gt;0,"UP",IF(Option_Chain_Data[[#This Row],[PUT.change]]&lt;0,"DOWN",""))</f>
        <v>DOWN</v>
      </c>
      <c r="U95" s="138" t="str">
        <f>IF(Option_Chain_Data[[#This Row],[PUT.changeinOpenInterest]]&gt;0,"UP",IF(Option_Chain_Data[[#This Row],[PUT.changeinOpenInterest]]&lt;0,"DOWN",""))</f>
        <v>UP</v>
      </c>
      <c r="V9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95" s="138" t="str">
        <f>IF(OR(Option_Chain_Data[[#This Row],[InterPretation2]]="Long Build UP",Option_Chain_Data[[#This Row],[InterPretation2]]="Short Covering"),"BULLISH",IF(OR(Option_Chain_Data[[#This Row],[InterPretation2]]="Long Liquidation",Option_Chain_Data[[#This Row],[InterPretation2]]="Short Build UP"),"BEARISH",""))</f>
        <v>BEARISH</v>
      </c>
    </row>
    <row r="96" spans="1:23" ht="19.8" x14ac:dyDescent="0.4">
      <c r="A96" s="143" t="s">
        <v>123</v>
      </c>
      <c r="B96" s="138" t="str">
        <f>IF(OR(Option_Chain_Data[[#This Row],[InterPretation]]="Long Build UP",Option_Chain_Data[[#This Row],[InterPretation]]="Short Covering"),"BULLISH",IF(OR(Option_Chain_Data[[#This Row],[InterPretation]]="LongLiquidation",Option_Chain_Data[[#This Row],[InterPretation]]="Short Build UP"),"BEARISH",""))</f>
        <v>BEARISH</v>
      </c>
      <c r="C9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96" s="138" t="str">
        <f>IF(Option_Chain_Data[[#This Row],[Call.changeinOpenInterest]]&gt;0,"UP",IF(Option_Chain_Data[[#This Row],[Call.changeinOpenInterest]]&lt;0,"DOWN",""))</f>
        <v>UP</v>
      </c>
      <c r="E96" s="138" t="str">
        <f>IF(Option_Chain_Data[[#This Row],[CAll.change]]&gt;0,"UP",IF(Option_Chain_Data[[#This Row],[CAll.change]]&lt;0,"DOWN",""))</f>
        <v>DOWN</v>
      </c>
      <c r="F96" s="139">
        <v>12848</v>
      </c>
      <c r="G96" s="139">
        <v>279</v>
      </c>
      <c r="H96" s="139">
        <v>8347</v>
      </c>
      <c r="I96" s="139">
        <v>35.97</v>
      </c>
      <c r="J96" s="139">
        <v>0.8</v>
      </c>
      <c r="K96" s="139">
        <v>-0.19999999999999996</v>
      </c>
      <c r="L96" s="140">
        <v>19100</v>
      </c>
      <c r="M96" s="139">
        <v>0</v>
      </c>
      <c r="N96" s="139">
        <v>0</v>
      </c>
      <c r="O96" s="139">
        <v>0</v>
      </c>
      <c r="P96" s="139">
        <v>0</v>
      </c>
      <c r="Q96" s="139">
        <v>0</v>
      </c>
      <c r="R96" s="139">
        <v>0</v>
      </c>
      <c r="S96" s="139">
        <v>18222.349999999999</v>
      </c>
      <c r="T96" s="138" t="str">
        <f>IF(Option_Chain_Data[[#This Row],[PUT.change]]&gt;0,"UP",IF(Option_Chain_Data[[#This Row],[PUT.change]]&lt;0,"DOWN",""))</f>
        <v/>
      </c>
      <c r="U96" s="138" t="str">
        <f>IF(Option_Chain_Data[[#This Row],[PUT.changeinOpenInterest]]&gt;0,"UP",IF(Option_Chain_Data[[#This Row],[PUT.changeinOpenInterest]]&lt;0,"DOWN",""))</f>
        <v/>
      </c>
      <c r="V9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6" s="138" t="str">
        <f>IF(OR(Option_Chain_Data[[#This Row],[InterPretation2]]="Long Build UP",Option_Chain_Data[[#This Row],[InterPretation2]]="Short Covering"),"BULLISH",IF(OR(Option_Chain_Data[[#This Row],[InterPretation2]]="Long Liquidation",Option_Chain_Data[[#This Row],[InterPretation2]]="Short Build UP"),"BEARISH",""))</f>
        <v/>
      </c>
    </row>
    <row r="97" spans="1:23" s="143" customFormat="1" ht="19.8" x14ac:dyDescent="0.4">
      <c r="A97" s="143" t="s">
        <v>123</v>
      </c>
      <c r="B97" s="138" t="str">
        <f>IF(OR(Option_Chain_Data[[#This Row],[InterPretation]]="Long Build UP",Option_Chain_Data[[#This Row],[InterPretation]]="Short Covering"),"BULLISH",IF(OR(Option_Chain_Data[[#This Row],[InterPretation]]="LongLiquidation",Option_Chain_Data[[#This Row],[InterPretation]]="Short Build UP"),"BEARISH",""))</f>
        <v/>
      </c>
      <c r="C9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97" s="138" t="str">
        <f>IF(Option_Chain_Data[[#This Row],[Call.changeinOpenInterest]]&gt;0,"UP",IF(Option_Chain_Data[[#This Row],[Call.changeinOpenInterest]]&lt;0,"DOWN",""))</f>
        <v>DOWN</v>
      </c>
      <c r="E97" s="138" t="str">
        <f>IF(Option_Chain_Data[[#This Row],[CAll.change]]&gt;0,"UP",IF(Option_Chain_Data[[#This Row],[CAll.change]]&lt;0,"DOWN",""))</f>
        <v>DOWN</v>
      </c>
      <c r="F97" s="139">
        <v>1041</v>
      </c>
      <c r="G97" s="139">
        <v>-203</v>
      </c>
      <c r="H97" s="139">
        <v>2560</v>
      </c>
      <c r="I97" s="139">
        <v>38.42</v>
      </c>
      <c r="J97" s="139">
        <v>0.85</v>
      </c>
      <c r="K97" s="139">
        <v>-0.15000000000000002</v>
      </c>
      <c r="L97" s="140">
        <v>19150</v>
      </c>
      <c r="M97" s="139">
        <v>-522.95000000000005</v>
      </c>
      <c r="N97" s="139">
        <v>882</v>
      </c>
      <c r="O97" s="139">
        <v>0</v>
      </c>
      <c r="P97" s="139">
        <v>2</v>
      </c>
      <c r="Q97" s="139">
        <v>0</v>
      </c>
      <c r="R97" s="139">
        <v>0</v>
      </c>
      <c r="S97" s="139">
        <v>18222.349999999999</v>
      </c>
      <c r="T97" s="138" t="str">
        <f>IF(Option_Chain_Data[[#This Row],[PUT.change]]&gt;0,"UP",IF(Option_Chain_Data[[#This Row],[PUT.change]]&lt;0,"DOWN",""))</f>
        <v>DOWN</v>
      </c>
      <c r="U97" s="138" t="str">
        <f>IF(Option_Chain_Data[[#This Row],[PUT.changeinOpenInterest]]&gt;0,"UP",IF(Option_Chain_Data[[#This Row],[PUT.changeinOpenInterest]]&lt;0,"DOWN",""))</f>
        <v/>
      </c>
      <c r="V9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7" s="138" t="str">
        <f>IF(OR(Option_Chain_Data[[#This Row],[InterPretation2]]="Long Build UP",Option_Chain_Data[[#This Row],[InterPretation2]]="Short Covering"),"BULLISH",IF(OR(Option_Chain_Data[[#This Row],[InterPretation2]]="Long Liquidation",Option_Chain_Data[[#This Row],[InterPretation2]]="Short Build UP"),"BEARISH",""))</f>
        <v/>
      </c>
    </row>
    <row r="98" spans="1:23" ht="19.8" x14ac:dyDescent="0.4">
      <c r="A98" s="143" t="s">
        <v>123</v>
      </c>
      <c r="B98" s="138" t="str">
        <f>IF(OR(Option_Chain_Data[[#This Row],[InterPretation]]="Long Build UP",Option_Chain_Data[[#This Row],[InterPretation]]="Short Covering"),"BULLISH",IF(OR(Option_Chain_Data[[#This Row],[InterPretation]]="LongLiquidation",Option_Chain_Data[[#This Row],[InterPretation]]="Short Build UP"),"BEARISH",""))</f>
        <v>BEARISH</v>
      </c>
      <c r="C9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98" s="138" t="str">
        <f>IF(Option_Chain_Data[[#This Row],[Call.changeinOpenInterest]]&gt;0,"UP",IF(Option_Chain_Data[[#This Row],[Call.changeinOpenInterest]]&lt;0,"DOWN",""))</f>
        <v>UP</v>
      </c>
      <c r="E98" s="138" t="str">
        <f>IF(Option_Chain_Data[[#This Row],[CAll.change]]&gt;0,"UP",IF(Option_Chain_Data[[#This Row],[CAll.change]]&lt;0,"DOWN",""))</f>
        <v>DOWN</v>
      </c>
      <c r="F98" s="139">
        <v>9490</v>
      </c>
      <c r="G98" s="139">
        <v>614</v>
      </c>
      <c r="H98" s="139">
        <v>8413</v>
      </c>
      <c r="I98" s="139">
        <v>39.19</v>
      </c>
      <c r="J98" s="139">
        <v>0.75</v>
      </c>
      <c r="K98" s="139">
        <v>-9.9999999999999978E-2</v>
      </c>
      <c r="L98" s="140">
        <v>19200</v>
      </c>
      <c r="M98" s="139">
        <v>-526.19999999999993</v>
      </c>
      <c r="N98" s="139">
        <v>916.4</v>
      </c>
      <c r="O98" s="139">
        <v>0</v>
      </c>
      <c r="P98" s="139">
        <v>2</v>
      </c>
      <c r="Q98" s="139">
        <v>0</v>
      </c>
      <c r="R98" s="139">
        <v>0</v>
      </c>
      <c r="S98" s="139">
        <v>18222.349999999999</v>
      </c>
      <c r="T98" s="138" t="str">
        <f>IF(Option_Chain_Data[[#This Row],[PUT.change]]&gt;0,"UP",IF(Option_Chain_Data[[#This Row],[PUT.change]]&lt;0,"DOWN",""))</f>
        <v>DOWN</v>
      </c>
      <c r="U98" s="138" t="str">
        <f>IF(Option_Chain_Data[[#This Row],[PUT.changeinOpenInterest]]&gt;0,"UP",IF(Option_Chain_Data[[#This Row],[PUT.changeinOpenInterest]]&lt;0,"DOWN",""))</f>
        <v/>
      </c>
      <c r="V9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8" s="138" t="str">
        <f>IF(OR(Option_Chain_Data[[#This Row],[InterPretation2]]="Long Build UP",Option_Chain_Data[[#This Row],[InterPretation2]]="Short Covering"),"BULLISH",IF(OR(Option_Chain_Data[[#This Row],[InterPretation2]]="Long Liquidation",Option_Chain_Data[[#This Row],[InterPretation2]]="Short Build UP"),"BEARISH",""))</f>
        <v/>
      </c>
    </row>
    <row r="99" spans="1:23" s="143" customFormat="1" ht="19.8" x14ac:dyDescent="0.4">
      <c r="A99" s="143" t="s">
        <v>123</v>
      </c>
      <c r="B99" s="138" t="str">
        <f>IF(OR(Option_Chain_Data[[#This Row],[InterPretation]]="Long Build UP",Option_Chain_Data[[#This Row],[InterPretation]]="Short Covering"),"BULLISH",IF(OR(Option_Chain_Data[[#This Row],[InterPretation]]="LongLiquidation",Option_Chain_Data[[#This Row],[InterPretation]]="Short Build UP"),"BEARISH",""))</f>
        <v>BEARISH</v>
      </c>
      <c r="C9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99" s="138" t="str">
        <f>IF(Option_Chain_Data[[#This Row],[Call.changeinOpenInterest]]&gt;0,"UP",IF(Option_Chain_Data[[#This Row],[Call.changeinOpenInterest]]&lt;0,"DOWN",""))</f>
        <v>UP</v>
      </c>
      <c r="E99" s="138" t="str">
        <f>IF(Option_Chain_Data[[#This Row],[CAll.change]]&gt;0,"UP",IF(Option_Chain_Data[[#This Row],[CAll.change]]&lt;0,"DOWN",""))</f>
        <v>DOWN</v>
      </c>
      <c r="F99" s="139">
        <v>1293</v>
      </c>
      <c r="G99" s="139">
        <v>454</v>
      </c>
      <c r="H99" s="139">
        <v>1361</v>
      </c>
      <c r="I99" s="139">
        <v>41.24</v>
      </c>
      <c r="J99" s="139">
        <v>0.75</v>
      </c>
      <c r="K99" s="139">
        <v>-9.9999999999999978E-2</v>
      </c>
      <c r="L99" s="140">
        <v>19250</v>
      </c>
      <c r="M99" s="139">
        <v>0</v>
      </c>
      <c r="N99" s="139">
        <v>0</v>
      </c>
      <c r="O99" s="139">
        <v>0</v>
      </c>
      <c r="P99" s="139">
        <v>0</v>
      </c>
      <c r="Q99" s="139">
        <v>0</v>
      </c>
      <c r="R99" s="139">
        <v>0</v>
      </c>
      <c r="S99" s="139">
        <v>18227.5</v>
      </c>
      <c r="T99" s="138" t="str">
        <f>IF(Option_Chain_Data[[#This Row],[PUT.change]]&gt;0,"UP",IF(Option_Chain_Data[[#This Row],[PUT.change]]&lt;0,"DOWN",""))</f>
        <v/>
      </c>
      <c r="U99" s="138" t="str">
        <f>IF(Option_Chain_Data[[#This Row],[PUT.changeinOpenInterest]]&gt;0,"UP",IF(Option_Chain_Data[[#This Row],[PUT.changeinOpenInterest]]&lt;0,"DOWN",""))</f>
        <v/>
      </c>
      <c r="V9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9" s="138" t="str">
        <f>IF(OR(Option_Chain_Data[[#This Row],[InterPretation2]]="Long Build UP",Option_Chain_Data[[#This Row],[InterPretation2]]="Short Covering"),"BULLISH",IF(OR(Option_Chain_Data[[#This Row],[InterPretation2]]="Long Liquidation",Option_Chain_Data[[#This Row],[InterPretation2]]="Short Build UP"),"BEARISH",""))</f>
        <v/>
      </c>
    </row>
    <row r="100" spans="1:23" ht="19.8" x14ac:dyDescent="0.4">
      <c r="A100" s="143" t="s">
        <v>123</v>
      </c>
      <c r="B100" s="138" t="str">
        <f>IF(OR(Option_Chain_Data[[#This Row],[InterPretation]]="Long Build UP",Option_Chain_Data[[#This Row],[InterPretation]]="Short Covering"),"BULLISH",IF(OR(Option_Chain_Data[[#This Row],[InterPretation]]="LongLiquidation",Option_Chain_Data[[#This Row],[InterPretation]]="Short Build UP"),"BEARISH",""))</f>
        <v>BEARISH</v>
      </c>
      <c r="C10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100" s="138" t="str">
        <f>IF(Option_Chain_Data[[#This Row],[Call.changeinOpenInterest]]&gt;0,"UP",IF(Option_Chain_Data[[#This Row],[Call.changeinOpenInterest]]&lt;0,"DOWN",""))</f>
        <v>UP</v>
      </c>
      <c r="E100" s="138" t="str">
        <f>IF(Option_Chain_Data[[#This Row],[CAll.change]]&gt;0,"UP",IF(Option_Chain_Data[[#This Row],[CAll.change]]&lt;0,"DOWN",""))</f>
        <v>DOWN</v>
      </c>
      <c r="F100" s="139">
        <v>11454</v>
      </c>
      <c r="G100" s="139">
        <v>229</v>
      </c>
      <c r="H100" s="139">
        <v>5808</v>
      </c>
      <c r="I100" s="139">
        <v>42.3</v>
      </c>
      <c r="J100" s="139">
        <v>0.6</v>
      </c>
      <c r="K100" s="139">
        <v>-0.15000000000000002</v>
      </c>
      <c r="L100" s="140">
        <v>19300</v>
      </c>
      <c r="M100" s="139">
        <v>-505.5499999999999</v>
      </c>
      <c r="N100" s="139">
        <v>1015</v>
      </c>
      <c r="O100" s="139">
        <v>0</v>
      </c>
      <c r="P100" s="139">
        <v>2</v>
      </c>
      <c r="Q100" s="139">
        <v>0</v>
      </c>
      <c r="R100" s="139">
        <v>0</v>
      </c>
      <c r="S100" s="139">
        <v>18222.349999999999</v>
      </c>
      <c r="T100" s="138" t="str">
        <f>IF(Option_Chain_Data[[#This Row],[PUT.change]]&gt;0,"UP",IF(Option_Chain_Data[[#This Row],[PUT.change]]&lt;0,"DOWN",""))</f>
        <v>DOWN</v>
      </c>
      <c r="U100" s="138" t="str">
        <f>IF(Option_Chain_Data[[#This Row],[PUT.changeinOpenInterest]]&gt;0,"UP",IF(Option_Chain_Data[[#This Row],[PUT.changeinOpenInterest]]&lt;0,"DOWN",""))</f>
        <v/>
      </c>
      <c r="V10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0" s="138" t="str">
        <f>IF(OR(Option_Chain_Data[[#This Row],[InterPretation2]]="Long Build UP",Option_Chain_Data[[#This Row],[InterPretation2]]="Short Covering"),"BULLISH",IF(OR(Option_Chain_Data[[#This Row],[InterPretation2]]="Long Liquidation",Option_Chain_Data[[#This Row],[InterPretation2]]="Short Build UP"),"BEARISH",""))</f>
        <v/>
      </c>
    </row>
    <row r="101" spans="1:23" ht="19.8" x14ac:dyDescent="0.4">
      <c r="A101" s="143" t="s">
        <v>123</v>
      </c>
      <c r="B101" s="138" t="str">
        <f>IF(OR(Option_Chain_Data[[#This Row],[InterPretation]]="Long Build UP",Option_Chain_Data[[#This Row],[InterPretation]]="Short Covering"),"BULLISH",IF(OR(Option_Chain_Data[[#This Row],[InterPretation]]="LongLiquidation",Option_Chain_Data[[#This Row],[InterPretation]]="Short Build UP"),"BEARISH",""))</f>
        <v>BEARISH</v>
      </c>
      <c r="C10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101" s="138" t="str">
        <f>IF(Option_Chain_Data[[#This Row],[Call.changeinOpenInterest]]&gt;0,"UP",IF(Option_Chain_Data[[#This Row],[Call.changeinOpenInterest]]&lt;0,"DOWN",""))</f>
        <v>UP</v>
      </c>
      <c r="E101" s="138" t="str">
        <f>IF(Option_Chain_Data[[#This Row],[CAll.change]]&gt;0,"UP",IF(Option_Chain_Data[[#This Row],[CAll.change]]&lt;0,"DOWN",""))</f>
        <v>DOWN</v>
      </c>
      <c r="F101" s="139">
        <v>2483</v>
      </c>
      <c r="G101" s="139">
        <v>53</v>
      </c>
      <c r="H101" s="139">
        <v>1164</v>
      </c>
      <c r="I101" s="139">
        <v>43.62</v>
      </c>
      <c r="J101" s="139">
        <v>0.6</v>
      </c>
      <c r="K101" s="139">
        <v>-9.9999999999999978E-2</v>
      </c>
      <c r="L101" s="140">
        <v>19350</v>
      </c>
      <c r="M101" s="139">
        <v>0</v>
      </c>
      <c r="N101" s="139">
        <v>0</v>
      </c>
      <c r="O101" s="139">
        <v>0</v>
      </c>
      <c r="P101" s="139">
        <v>0</v>
      </c>
      <c r="Q101" s="139">
        <v>0</v>
      </c>
      <c r="R101" s="139">
        <v>0</v>
      </c>
      <c r="S101" s="139">
        <v>18227.5</v>
      </c>
      <c r="T101" s="138" t="str">
        <f>IF(Option_Chain_Data[[#This Row],[PUT.change]]&gt;0,"UP",IF(Option_Chain_Data[[#This Row],[PUT.change]]&lt;0,"DOWN",""))</f>
        <v/>
      </c>
      <c r="U101" s="138" t="str">
        <f>IF(Option_Chain_Data[[#This Row],[PUT.changeinOpenInterest]]&gt;0,"UP",IF(Option_Chain_Data[[#This Row],[PUT.changeinOpenInterest]]&lt;0,"DOWN",""))</f>
        <v/>
      </c>
      <c r="V10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1" s="138" t="str">
        <f>IF(OR(Option_Chain_Data[[#This Row],[InterPretation2]]="Long Build UP",Option_Chain_Data[[#This Row],[InterPretation2]]="Short Covering"),"BULLISH",IF(OR(Option_Chain_Data[[#This Row],[InterPretation2]]="Long Liquidation",Option_Chain_Data[[#This Row],[InterPretation2]]="Short Build UP"),"BEARISH",""))</f>
        <v/>
      </c>
    </row>
    <row r="102" spans="1:23" ht="19.8" x14ac:dyDescent="0.4">
      <c r="A102" s="143" t="s">
        <v>123</v>
      </c>
      <c r="B102" s="138" t="str">
        <f>IF(OR(Option_Chain_Data[[#This Row],[InterPretation]]="Long Build UP",Option_Chain_Data[[#This Row],[InterPretation]]="Short Covering"),"BULLISH",IF(OR(Option_Chain_Data[[#This Row],[InterPretation]]="LongLiquidation",Option_Chain_Data[[#This Row],[InterPretation]]="Short Build UP"),"BEARISH",""))</f>
        <v>BEARISH</v>
      </c>
      <c r="C10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102" s="138" t="str">
        <f>IF(Option_Chain_Data[[#This Row],[Call.changeinOpenInterest]]&gt;0,"UP",IF(Option_Chain_Data[[#This Row],[Call.changeinOpenInterest]]&lt;0,"DOWN",""))</f>
        <v>UP</v>
      </c>
      <c r="E102" s="138" t="str">
        <f>IF(Option_Chain_Data[[#This Row],[CAll.change]]&gt;0,"UP",IF(Option_Chain_Data[[#This Row],[CAll.change]]&lt;0,"DOWN",""))</f>
        <v>DOWN</v>
      </c>
      <c r="F102" s="139">
        <v>7042</v>
      </c>
      <c r="G102" s="139">
        <v>72</v>
      </c>
      <c r="H102" s="139">
        <v>2856</v>
      </c>
      <c r="I102" s="139">
        <v>45.3</v>
      </c>
      <c r="J102" s="139">
        <v>0.55000000000000004</v>
      </c>
      <c r="K102" s="139">
        <v>-9.9999999999999978E-2</v>
      </c>
      <c r="L102" s="140">
        <v>19400</v>
      </c>
      <c r="M102" s="139">
        <v>-465.34999999999991</v>
      </c>
      <c r="N102" s="139">
        <v>1134.7</v>
      </c>
      <c r="O102" s="139">
        <v>0</v>
      </c>
      <c r="P102" s="139">
        <v>2</v>
      </c>
      <c r="Q102" s="139">
        <v>0</v>
      </c>
      <c r="R102" s="139">
        <v>0</v>
      </c>
      <c r="S102" s="139">
        <v>18222.349999999999</v>
      </c>
      <c r="T102" s="138" t="str">
        <f>IF(Option_Chain_Data[[#This Row],[PUT.change]]&gt;0,"UP",IF(Option_Chain_Data[[#This Row],[PUT.change]]&lt;0,"DOWN",""))</f>
        <v>DOWN</v>
      </c>
      <c r="U102" s="138" t="str">
        <f>IF(Option_Chain_Data[[#This Row],[PUT.changeinOpenInterest]]&gt;0,"UP",IF(Option_Chain_Data[[#This Row],[PUT.changeinOpenInterest]]&lt;0,"DOWN",""))</f>
        <v/>
      </c>
      <c r="V10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2" s="138" t="str">
        <f>IF(OR(Option_Chain_Data[[#This Row],[InterPretation2]]="Long Build UP",Option_Chain_Data[[#This Row],[InterPretation2]]="Short Covering"),"BULLISH",IF(OR(Option_Chain_Data[[#This Row],[InterPretation2]]="Long Liquidation",Option_Chain_Data[[#This Row],[InterPretation2]]="Short Build UP"),"BEARISH",""))</f>
        <v/>
      </c>
    </row>
    <row r="103" spans="1:23" ht="19.8" x14ac:dyDescent="0.4">
      <c r="A103" s="143" t="s">
        <v>123</v>
      </c>
      <c r="B103" s="138" t="str">
        <f>IF(OR(Option_Chain_Data[[#This Row],[InterPretation]]="Long Build UP",Option_Chain_Data[[#This Row],[InterPretation]]="Short Covering"),"BULLISH",IF(OR(Option_Chain_Data[[#This Row],[InterPretation]]="LongLiquidation",Option_Chain_Data[[#This Row],[InterPretation]]="Short Build UP"),"BEARISH",""))</f>
        <v/>
      </c>
      <c r="C10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103" s="138" t="str">
        <f>IF(Option_Chain_Data[[#This Row],[Call.changeinOpenInterest]]&gt;0,"UP",IF(Option_Chain_Data[[#This Row],[Call.changeinOpenInterest]]&lt;0,"DOWN",""))</f>
        <v>DOWN</v>
      </c>
      <c r="E103" s="138" t="str">
        <f>IF(Option_Chain_Data[[#This Row],[CAll.change]]&gt;0,"UP",IF(Option_Chain_Data[[#This Row],[CAll.change]]&lt;0,"DOWN",""))</f>
        <v>DOWN</v>
      </c>
      <c r="F103" s="139">
        <v>2552</v>
      </c>
      <c r="G103" s="139">
        <v>-31</v>
      </c>
      <c r="H103" s="139">
        <v>758</v>
      </c>
      <c r="I103" s="139">
        <v>0</v>
      </c>
      <c r="J103" s="139">
        <v>0.55000000000000004</v>
      </c>
      <c r="K103" s="139">
        <v>-9.9999999999999978E-2</v>
      </c>
      <c r="L103" s="140">
        <v>19450</v>
      </c>
      <c r="M103" s="139">
        <v>0</v>
      </c>
      <c r="N103" s="139">
        <v>0</v>
      </c>
      <c r="O103" s="139">
        <v>0</v>
      </c>
      <c r="P103" s="139">
        <v>0</v>
      </c>
      <c r="Q103" s="139">
        <v>0</v>
      </c>
      <c r="R103" s="139">
        <v>0</v>
      </c>
      <c r="S103" s="139">
        <v>18227.5</v>
      </c>
      <c r="T103" s="138" t="str">
        <f>IF(Option_Chain_Data[[#This Row],[PUT.change]]&gt;0,"UP",IF(Option_Chain_Data[[#This Row],[PUT.change]]&lt;0,"DOWN",""))</f>
        <v/>
      </c>
      <c r="U103" s="138" t="str">
        <f>IF(Option_Chain_Data[[#This Row],[PUT.changeinOpenInterest]]&gt;0,"UP",IF(Option_Chain_Data[[#This Row],[PUT.changeinOpenInterest]]&lt;0,"DOWN",""))</f>
        <v/>
      </c>
      <c r="V10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3" s="138" t="str">
        <f>IF(OR(Option_Chain_Data[[#This Row],[InterPretation2]]="Long Build UP",Option_Chain_Data[[#This Row],[InterPretation2]]="Short Covering"),"BULLISH",IF(OR(Option_Chain_Data[[#This Row],[InterPretation2]]="Long Liquidation",Option_Chain_Data[[#This Row],[InterPretation2]]="Short Build UP"),"BEARISH",""))</f>
        <v/>
      </c>
    </row>
    <row r="104" spans="1:23" ht="19.8" x14ac:dyDescent="0.4">
      <c r="A104" s="143" t="s">
        <v>123</v>
      </c>
      <c r="B104" s="138" t="str">
        <f>IF(OR(Option_Chain_Data[[#This Row],[InterPretation]]="Long Build UP",Option_Chain_Data[[#This Row],[InterPretation]]="Short Covering"),"BULLISH",IF(OR(Option_Chain_Data[[#This Row],[InterPretation]]="LongLiquidation",Option_Chain_Data[[#This Row],[InterPretation]]="Short Build UP"),"BEARISH",""))</f>
        <v/>
      </c>
      <c r="C10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104" s="138" t="str">
        <f>IF(Option_Chain_Data[[#This Row],[Call.changeinOpenInterest]]&gt;0,"UP",IF(Option_Chain_Data[[#This Row],[Call.changeinOpenInterest]]&lt;0,"DOWN",""))</f>
        <v>DOWN</v>
      </c>
      <c r="E104" s="138" t="str">
        <f>IF(Option_Chain_Data[[#This Row],[CAll.change]]&gt;0,"UP",IF(Option_Chain_Data[[#This Row],[CAll.change]]&lt;0,"DOWN",""))</f>
        <v>DOWN</v>
      </c>
      <c r="F104" s="139">
        <v>52572</v>
      </c>
      <c r="G104" s="139">
        <v>-4119</v>
      </c>
      <c r="H104" s="139">
        <v>22435</v>
      </c>
      <c r="I104" s="139">
        <v>48.62</v>
      </c>
      <c r="J104" s="139">
        <v>0.6</v>
      </c>
      <c r="K104" s="139">
        <v>-9.9999999999999978E-2</v>
      </c>
      <c r="L104" s="140">
        <v>19500</v>
      </c>
      <c r="M104" s="139">
        <v>-462.0499999999999</v>
      </c>
      <c r="N104" s="139">
        <v>1219.05</v>
      </c>
      <c r="O104" s="139">
        <v>0</v>
      </c>
      <c r="P104" s="139">
        <v>2</v>
      </c>
      <c r="Q104" s="139">
        <v>0</v>
      </c>
      <c r="R104" s="139">
        <v>0</v>
      </c>
      <c r="S104" s="139">
        <v>18227.5</v>
      </c>
      <c r="T104" s="138" t="str">
        <f>IF(Option_Chain_Data[[#This Row],[PUT.change]]&gt;0,"UP",IF(Option_Chain_Data[[#This Row],[PUT.change]]&lt;0,"DOWN",""))</f>
        <v>DOWN</v>
      </c>
      <c r="U104" s="138" t="str">
        <f>IF(Option_Chain_Data[[#This Row],[PUT.changeinOpenInterest]]&gt;0,"UP",IF(Option_Chain_Data[[#This Row],[PUT.changeinOpenInterest]]&lt;0,"DOWN",""))</f>
        <v/>
      </c>
      <c r="V10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4" s="138" t="str">
        <f>IF(OR(Option_Chain_Data[[#This Row],[InterPretation2]]="Long Build UP",Option_Chain_Data[[#This Row],[InterPretation2]]="Short Covering"),"BULLISH",IF(OR(Option_Chain_Data[[#This Row],[InterPretation2]]="Long Liquidation",Option_Chain_Data[[#This Row],[InterPretation2]]="Short Build UP"),"BEARISH",""))</f>
        <v/>
      </c>
    </row>
    <row r="105" spans="1:23" ht="19.8" x14ac:dyDescent="0.4">
      <c r="A105" s="143" t="s">
        <v>123</v>
      </c>
      <c r="B105" s="138" t="str">
        <f>IF(OR(Option_Chain_Data[[#This Row],[InterPretation]]="Long Build UP",Option_Chain_Data[[#This Row],[InterPretation]]="Short Covering"),"BULLISH",IF(OR(Option_Chain_Data[[#This Row],[InterPretation]]="LongLiquidation",Option_Chain_Data[[#This Row],[InterPretation]]="Short Build UP"),"BEARISH",""))</f>
        <v>BULLISH</v>
      </c>
      <c r="C10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105" s="138" t="str">
        <f>IF(Option_Chain_Data[[#This Row],[Call.changeinOpenInterest]]&gt;0,"UP",IF(Option_Chain_Data[[#This Row],[Call.changeinOpenInterest]]&lt;0,"DOWN",""))</f>
        <v>UP</v>
      </c>
      <c r="E105" s="138" t="str">
        <f>IF(Option_Chain_Data[[#This Row],[CAll.change]]&gt;0,"UP",IF(Option_Chain_Data[[#This Row],[CAll.change]]&lt;0,"DOWN",""))</f>
        <v>UP</v>
      </c>
      <c r="F105" s="139">
        <v>608</v>
      </c>
      <c r="G105" s="139">
        <v>109</v>
      </c>
      <c r="H105" s="139">
        <v>706</v>
      </c>
      <c r="I105" s="139">
        <v>51.08</v>
      </c>
      <c r="J105" s="139">
        <v>0.7</v>
      </c>
      <c r="K105" s="139">
        <v>4.9999999999999933E-2</v>
      </c>
      <c r="L105" s="140">
        <v>19550</v>
      </c>
      <c r="M105" s="139">
        <v>0</v>
      </c>
      <c r="N105" s="139">
        <v>0</v>
      </c>
      <c r="O105" s="139">
        <v>0</v>
      </c>
      <c r="P105" s="139">
        <v>0</v>
      </c>
      <c r="Q105" s="139">
        <v>0</v>
      </c>
      <c r="R105" s="139">
        <v>0</v>
      </c>
      <c r="S105" s="139">
        <v>18227.5</v>
      </c>
      <c r="T105" s="138" t="str">
        <f>IF(Option_Chain_Data[[#This Row],[PUT.change]]&gt;0,"UP",IF(Option_Chain_Data[[#This Row],[PUT.change]]&lt;0,"DOWN",""))</f>
        <v/>
      </c>
      <c r="U105" s="138" t="str">
        <f>IF(Option_Chain_Data[[#This Row],[PUT.changeinOpenInterest]]&gt;0,"UP",IF(Option_Chain_Data[[#This Row],[PUT.changeinOpenInterest]]&lt;0,"DOWN",""))</f>
        <v/>
      </c>
      <c r="V10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5" s="138" t="str">
        <f>IF(OR(Option_Chain_Data[[#This Row],[InterPretation2]]="Long Build UP",Option_Chain_Data[[#This Row],[InterPretation2]]="Short Covering"),"BULLISH",IF(OR(Option_Chain_Data[[#This Row],[InterPretation2]]="Long Liquidation",Option_Chain_Data[[#This Row],[InterPretation2]]="Short Build UP"),"BEARISH",""))</f>
        <v/>
      </c>
    </row>
    <row r="106" spans="1:23" ht="19.8" x14ac:dyDescent="0.4">
      <c r="A106" s="143" t="s">
        <v>123</v>
      </c>
      <c r="B106" s="138" t="str">
        <f>IF(OR(Option_Chain_Data[[#This Row],[InterPretation]]="Long Build UP",Option_Chain_Data[[#This Row],[InterPretation]]="Short Covering"),"BULLISH",IF(OR(Option_Chain_Data[[#This Row],[InterPretation]]="LongLiquidation",Option_Chain_Data[[#This Row],[InterPretation]]="Short Build UP"),"BEARISH",""))</f>
        <v>BULLISH</v>
      </c>
      <c r="C10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106" s="138" t="str">
        <f>IF(Option_Chain_Data[[#This Row],[Call.changeinOpenInterest]]&gt;0,"UP",IF(Option_Chain_Data[[#This Row],[Call.changeinOpenInterest]]&lt;0,"DOWN",""))</f>
        <v>UP</v>
      </c>
      <c r="E106" s="138" t="str">
        <f>IF(Option_Chain_Data[[#This Row],[CAll.change]]&gt;0,"UP",IF(Option_Chain_Data[[#This Row],[CAll.change]]&lt;0,"DOWN",""))</f>
        <v>UP</v>
      </c>
      <c r="F106" s="139">
        <v>3895</v>
      </c>
      <c r="G106" s="139">
        <v>922</v>
      </c>
      <c r="H106" s="139">
        <v>4693</v>
      </c>
      <c r="I106" s="139">
        <v>52.33</v>
      </c>
      <c r="J106" s="139">
        <v>0.65</v>
      </c>
      <c r="K106" s="139">
        <v>9.9999999999999978E-2</v>
      </c>
      <c r="L106" s="140">
        <v>19600</v>
      </c>
      <c r="M106" s="139">
        <v>0</v>
      </c>
      <c r="N106" s="139">
        <v>0</v>
      </c>
      <c r="O106" s="139">
        <v>0</v>
      </c>
      <c r="P106" s="139">
        <v>0</v>
      </c>
      <c r="Q106" s="139">
        <v>0</v>
      </c>
      <c r="R106" s="139">
        <v>0</v>
      </c>
      <c r="S106" s="139">
        <v>18222.349999999999</v>
      </c>
      <c r="T106" s="138" t="str">
        <f>IF(Option_Chain_Data[[#This Row],[PUT.change]]&gt;0,"UP",IF(Option_Chain_Data[[#This Row],[PUT.change]]&lt;0,"DOWN",""))</f>
        <v/>
      </c>
      <c r="U106" s="138" t="str">
        <f>IF(Option_Chain_Data[[#This Row],[PUT.changeinOpenInterest]]&gt;0,"UP",IF(Option_Chain_Data[[#This Row],[PUT.changeinOpenInterest]]&lt;0,"DOWN",""))</f>
        <v/>
      </c>
      <c r="V10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6" s="138" t="str">
        <f>IF(OR(Option_Chain_Data[[#This Row],[InterPretation2]]="Long Build UP",Option_Chain_Data[[#This Row],[InterPretation2]]="Short Covering"),"BULLISH",IF(OR(Option_Chain_Data[[#This Row],[InterPretation2]]="Long Liquidation",Option_Chain_Data[[#This Row],[InterPretation2]]="Short Build UP"),"BEARISH",""))</f>
        <v/>
      </c>
    </row>
    <row r="107" spans="1:23" ht="19.8" x14ac:dyDescent="0.4">
      <c r="A107" s="143" t="s">
        <v>123</v>
      </c>
      <c r="B107" s="138" t="str">
        <f>IF(OR(Option_Chain_Data[[#This Row],[InterPretation]]="Long Build UP",Option_Chain_Data[[#This Row],[InterPretation]]="Short Covering"),"BULLISH",IF(OR(Option_Chain_Data[[#This Row],[InterPretation]]="LongLiquidation",Option_Chain_Data[[#This Row],[InterPretation]]="Short Build UP"),"BEARISH",""))</f>
        <v/>
      </c>
      <c r="C10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107" s="138" t="str">
        <f>IF(Option_Chain_Data[[#This Row],[Call.changeinOpenInterest]]&gt;0,"UP",IF(Option_Chain_Data[[#This Row],[Call.changeinOpenInterest]]&lt;0,"DOWN",""))</f>
        <v>DOWN</v>
      </c>
      <c r="E107" s="138" t="str">
        <f>IF(Option_Chain_Data[[#This Row],[CAll.change]]&gt;0,"UP",IF(Option_Chain_Data[[#This Row],[CAll.change]]&lt;0,"DOWN",""))</f>
        <v>DOWN</v>
      </c>
      <c r="F107" s="139">
        <v>256</v>
      </c>
      <c r="G107" s="139">
        <v>-13</v>
      </c>
      <c r="H107" s="139">
        <v>54</v>
      </c>
      <c r="I107" s="139">
        <v>53.52</v>
      </c>
      <c r="J107" s="139">
        <v>0.6</v>
      </c>
      <c r="K107" s="139">
        <v>-9.9999999999999978E-2</v>
      </c>
      <c r="L107" s="140">
        <v>19650</v>
      </c>
      <c r="M107" s="139">
        <v>0</v>
      </c>
      <c r="N107" s="139">
        <v>0</v>
      </c>
      <c r="O107" s="139">
        <v>0</v>
      </c>
      <c r="P107" s="139">
        <v>0</v>
      </c>
      <c r="Q107" s="139">
        <v>0</v>
      </c>
      <c r="R107" s="139">
        <v>0</v>
      </c>
      <c r="S107" s="139">
        <v>18222.349999999999</v>
      </c>
      <c r="T107" s="138" t="str">
        <f>IF(Option_Chain_Data[[#This Row],[PUT.change]]&gt;0,"UP",IF(Option_Chain_Data[[#This Row],[PUT.change]]&lt;0,"DOWN",""))</f>
        <v/>
      </c>
      <c r="U107" s="138" t="str">
        <f>IF(Option_Chain_Data[[#This Row],[PUT.changeinOpenInterest]]&gt;0,"UP",IF(Option_Chain_Data[[#This Row],[PUT.changeinOpenInterest]]&lt;0,"DOWN",""))</f>
        <v/>
      </c>
      <c r="V10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7" s="138" t="str">
        <f>IF(OR(Option_Chain_Data[[#This Row],[InterPretation2]]="Long Build UP",Option_Chain_Data[[#This Row],[InterPretation2]]="Short Covering"),"BULLISH",IF(OR(Option_Chain_Data[[#This Row],[InterPretation2]]="Long Liquidation",Option_Chain_Data[[#This Row],[InterPretation2]]="Short Build UP"),"BEARISH",""))</f>
        <v/>
      </c>
    </row>
    <row r="108" spans="1:23" ht="19.8" x14ac:dyDescent="0.4">
      <c r="A108" s="143" t="s">
        <v>123</v>
      </c>
      <c r="B108" s="138" t="str">
        <f>IF(OR(Option_Chain_Data[[#This Row],[InterPretation]]="Long Build UP",Option_Chain_Data[[#This Row],[InterPretation]]="Short Covering"),"BULLISH",IF(OR(Option_Chain_Data[[#This Row],[InterPretation]]="LongLiquidation",Option_Chain_Data[[#This Row],[InterPretation]]="Short Build UP"),"BEARISH",""))</f>
        <v>BULLISH</v>
      </c>
      <c r="C10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108" s="138" t="str">
        <f>IF(Option_Chain_Data[[#This Row],[Call.changeinOpenInterest]]&gt;0,"UP",IF(Option_Chain_Data[[#This Row],[Call.changeinOpenInterest]]&lt;0,"DOWN",""))</f>
        <v>UP</v>
      </c>
      <c r="E108" s="138" t="str">
        <f>IF(Option_Chain_Data[[#This Row],[CAll.change]]&gt;0,"UP",IF(Option_Chain_Data[[#This Row],[CAll.change]]&lt;0,"DOWN",""))</f>
        <v>UP</v>
      </c>
      <c r="F108" s="139">
        <v>3045</v>
      </c>
      <c r="G108" s="139">
        <v>1677</v>
      </c>
      <c r="H108" s="139">
        <v>2680</v>
      </c>
      <c r="I108" s="139">
        <v>55.59</v>
      </c>
      <c r="J108" s="139">
        <v>0.6</v>
      </c>
      <c r="K108" s="139">
        <v>4.9999999999999933E-2</v>
      </c>
      <c r="L108" s="140">
        <v>19700</v>
      </c>
      <c r="M108" s="139">
        <v>0</v>
      </c>
      <c r="N108" s="139">
        <v>0</v>
      </c>
      <c r="O108" s="139">
        <v>0</v>
      </c>
      <c r="P108" s="139">
        <v>0</v>
      </c>
      <c r="Q108" s="139">
        <v>0</v>
      </c>
      <c r="R108" s="139">
        <v>0</v>
      </c>
      <c r="S108" s="139">
        <v>18227.5</v>
      </c>
      <c r="T108" s="138" t="str">
        <f>IF(Option_Chain_Data[[#This Row],[PUT.change]]&gt;0,"UP",IF(Option_Chain_Data[[#This Row],[PUT.change]]&lt;0,"DOWN",""))</f>
        <v/>
      </c>
      <c r="U108" s="138" t="str">
        <f>IF(Option_Chain_Data[[#This Row],[PUT.changeinOpenInterest]]&gt;0,"UP",IF(Option_Chain_Data[[#This Row],[PUT.changeinOpenInterest]]&lt;0,"DOWN",""))</f>
        <v/>
      </c>
      <c r="V10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8" s="138" t="str">
        <f>IF(OR(Option_Chain_Data[[#This Row],[InterPretation2]]="Long Build UP",Option_Chain_Data[[#This Row],[InterPretation2]]="Short Covering"),"BULLISH",IF(OR(Option_Chain_Data[[#This Row],[InterPretation2]]="Long Liquidation",Option_Chain_Data[[#This Row],[InterPretation2]]="Short Build UP"),"BEARISH",""))</f>
        <v/>
      </c>
    </row>
    <row r="109" spans="1:23" ht="19.8" x14ac:dyDescent="0.4">
      <c r="A109" s="143" t="s">
        <v>123</v>
      </c>
      <c r="B109" s="138" t="str">
        <f>IF(OR(Option_Chain_Data[[#This Row],[InterPretation]]="Long Build UP",Option_Chain_Data[[#This Row],[InterPretation]]="Short Covering"),"BULLISH",IF(OR(Option_Chain_Data[[#This Row],[InterPretation]]="LongLiquidation",Option_Chain_Data[[#This Row],[InterPretation]]="Short Build UP"),"BEARISH",""))</f>
        <v>BULLISH</v>
      </c>
      <c r="C10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109" s="138" t="str">
        <f>IF(Option_Chain_Data[[#This Row],[Call.changeinOpenInterest]]&gt;0,"UP",IF(Option_Chain_Data[[#This Row],[Call.changeinOpenInterest]]&lt;0,"DOWN",""))</f>
        <v>UP</v>
      </c>
      <c r="E109" s="138" t="str">
        <f>IF(Option_Chain_Data[[#This Row],[CAll.change]]&gt;0,"UP",IF(Option_Chain_Data[[#This Row],[CAll.change]]&lt;0,"DOWN",""))</f>
        <v>UP</v>
      </c>
      <c r="F109" s="139">
        <v>739</v>
      </c>
      <c r="G109" s="139">
        <v>14</v>
      </c>
      <c r="H109" s="139">
        <v>305</v>
      </c>
      <c r="I109" s="139">
        <v>56.25</v>
      </c>
      <c r="J109" s="139">
        <v>0.55000000000000004</v>
      </c>
      <c r="K109" s="139">
        <v>5.0000000000000051E-2</v>
      </c>
      <c r="L109" s="140">
        <v>19750</v>
      </c>
      <c r="M109" s="139">
        <v>0</v>
      </c>
      <c r="N109" s="139">
        <v>0</v>
      </c>
      <c r="O109" s="139">
        <v>0</v>
      </c>
      <c r="P109" s="139">
        <v>0</v>
      </c>
      <c r="Q109" s="139">
        <v>0</v>
      </c>
      <c r="R109" s="139">
        <v>0</v>
      </c>
      <c r="S109" s="139">
        <v>18227.5</v>
      </c>
      <c r="T109" s="138" t="str">
        <f>IF(Option_Chain_Data[[#This Row],[PUT.change]]&gt;0,"UP",IF(Option_Chain_Data[[#This Row],[PUT.change]]&lt;0,"DOWN",""))</f>
        <v/>
      </c>
      <c r="U109" s="138" t="str">
        <f>IF(Option_Chain_Data[[#This Row],[PUT.changeinOpenInterest]]&gt;0,"UP",IF(Option_Chain_Data[[#This Row],[PUT.changeinOpenInterest]]&lt;0,"DOWN",""))</f>
        <v/>
      </c>
      <c r="V10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09" s="138" t="str">
        <f>IF(OR(Option_Chain_Data[[#This Row],[InterPretation2]]="Long Build UP",Option_Chain_Data[[#This Row],[InterPretation2]]="Short Covering"),"BULLISH",IF(OR(Option_Chain_Data[[#This Row],[InterPretation2]]="Long Liquidation",Option_Chain_Data[[#This Row],[InterPretation2]]="Short Build UP"),"BEARISH",""))</f>
        <v/>
      </c>
    </row>
    <row r="110" spans="1:23" ht="19.8" x14ac:dyDescent="0.4">
      <c r="A110" s="143" t="s">
        <v>123</v>
      </c>
      <c r="B110" s="138" t="str">
        <f>IF(OR(Option_Chain_Data[[#This Row],[InterPretation]]="Long Build UP",Option_Chain_Data[[#This Row],[InterPretation]]="Short Covering"),"BULLISH",IF(OR(Option_Chain_Data[[#This Row],[InterPretation]]="LongLiquidation",Option_Chain_Data[[#This Row],[InterPretation]]="Short Build UP"),"BEARISH",""))</f>
        <v/>
      </c>
      <c r="C11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10" s="138" t="str">
        <f>IF(Option_Chain_Data[[#This Row],[Call.changeinOpenInterest]]&gt;0,"UP",IF(Option_Chain_Data[[#This Row],[Call.changeinOpenInterest]]&lt;0,"DOWN",""))</f>
        <v>DOWN</v>
      </c>
      <c r="E110" s="138" t="str">
        <f>IF(Option_Chain_Data[[#This Row],[CAll.change]]&gt;0,"UP",IF(Option_Chain_Data[[#This Row],[CAll.change]]&lt;0,"DOWN",""))</f>
        <v/>
      </c>
      <c r="F110" s="139">
        <v>3112</v>
      </c>
      <c r="G110" s="139">
        <v>-43</v>
      </c>
      <c r="H110" s="139">
        <v>877</v>
      </c>
      <c r="I110" s="139">
        <v>58.34</v>
      </c>
      <c r="J110" s="139">
        <v>0.55000000000000004</v>
      </c>
      <c r="K110" s="139">
        <v>0</v>
      </c>
      <c r="L110" s="140">
        <v>19800</v>
      </c>
      <c r="M110" s="139">
        <v>0</v>
      </c>
      <c r="N110" s="139">
        <v>0</v>
      </c>
      <c r="O110" s="139">
        <v>0</v>
      </c>
      <c r="P110" s="139">
        <v>0</v>
      </c>
      <c r="Q110" s="139">
        <v>0</v>
      </c>
      <c r="R110" s="139">
        <v>1</v>
      </c>
      <c r="S110" s="139">
        <v>18222.349999999999</v>
      </c>
      <c r="T110" s="138" t="str">
        <f>IF(Option_Chain_Data[[#This Row],[PUT.change]]&gt;0,"UP",IF(Option_Chain_Data[[#This Row],[PUT.change]]&lt;0,"DOWN",""))</f>
        <v/>
      </c>
      <c r="U110" s="138" t="str">
        <f>IF(Option_Chain_Data[[#This Row],[PUT.changeinOpenInterest]]&gt;0,"UP",IF(Option_Chain_Data[[#This Row],[PUT.changeinOpenInterest]]&lt;0,"DOWN",""))</f>
        <v/>
      </c>
      <c r="V11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10" s="138" t="str">
        <f>IF(OR(Option_Chain_Data[[#This Row],[InterPretation2]]="Long Build UP",Option_Chain_Data[[#This Row],[InterPretation2]]="Short Covering"),"BULLISH",IF(OR(Option_Chain_Data[[#This Row],[InterPretation2]]="Long Liquidation",Option_Chain_Data[[#This Row],[InterPretation2]]="Short Build UP"),"BEARISH",""))</f>
        <v/>
      </c>
    </row>
    <row r="111" spans="1:23" ht="19.8" x14ac:dyDescent="0.4">
      <c r="A111" s="143" t="s">
        <v>123</v>
      </c>
      <c r="B111" s="138" t="str">
        <f>IF(OR(Option_Chain_Data[[#This Row],[InterPretation]]="Long Build UP",Option_Chain_Data[[#This Row],[InterPretation]]="Short Covering"),"BULLISH",IF(OR(Option_Chain_Data[[#This Row],[InterPretation]]="LongLiquidation",Option_Chain_Data[[#This Row],[InterPretation]]="Short Build UP"),"BEARISH",""))</f>
        <v>BEARISH</v>
      </c>
      <c r="C11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111" s="138" t="str">
        <f>IF(Option_Chain_Data[[#This Row],[Call.changeinOpenInterest]]&gt;0,"UP",IF(Option_Chain_Data[[#This Row],[Call.changeinOpenInterest]]&lt;0,"DOWN",""))</f>
        <v>UP</v>
      </c>
      <c r="E111" s="138" t="str">
        <f>IF(Option_Chain_Data[[#This Row],[CAll.change]]&gt;0,"UP",IF(Option_Chain_Data[[#This Row],[CAll.change]]&lt;0,"DOWN",""))</f>
        <v>DOWN</v>
      </c>
      <c r="F111" s="139">
        <v>628</v>
      </c>
      <c r="G111" s="139">
        <v>27</v>
      </c>
      <c r="H111" s="139">
        <v>78</v>
      </c>
      <c r="I111" s="139">
        <v>60.05</v>
      </c>
      <c r="J111" s="139">
        <v>0.55000000000000004</v>
      </c>
      <c r="K111" s="139">
        <v>-9.9999999999999978E-2</v>
      </c>
      <c r="L111" s="140">
        <v>19850</v>
      </c>
      <c r="M111" s="139">
        <v>0</v>
      </c>
      <c r="N111" s="139">
        <v>0</v>
      </c>
      <c r="O111" s="139">
        <v>0</v>
      </c>
      <c r="P111" s="139">
        <v>0</v>
      </c>
      <c r="Q111" s="139">
        <v>0</v>
      </c>
      <c r="R111" s="139">
        <v>0</v>
      </c>
      <c r="S111" s="139">
        <v>18227.5</v>
      </c>
      <c r="T111" s="138" t="str">
        <f>IF(Option_Chain_Data[[#This Row],[PUT.change]]&gt;0,"UP",IF(Option_Chain_Data[[#This Row],[PUT.change]]&lt;0,"DOWN",""))</f>
        <v/>
      </c>
      <c r="U111" s="138" t="str">
        <f>IF(Option_Chain_Data[[#This Row],[PUT.changeinOpenInterest]]&gt;0,"UP",IF(Option_Chain_Data[[#This Row],[PUT.changeinOpenInterest]]&lt;0,"DOWN",""))</f>
        <v/>
      </c>
      <c r="V11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11" s="138" t="str">
        <f>IF(OR(Option_Chain_Data[[#This Row],[InterPretation2]]="Long Build UP",Option_Chain_Data[[#This Row],[InterPretation2]]="Short Covering"),"BULLISH",IF(OR(Option_Chain_Data[[#This Row],[InterPretation2]]="Long Liquidation",Option_Chain_Data[[#This Row],[InterPretation2]]="Short Build UP"),"BEARISH",""))</f>
        <v/>
      </c>
    </row>
    <row r="112" spans="1:23" ht="19.8" x14ac:dyDescent="0.4">
      <c r="A112" s="143" t="s">
        <v>123</v>
      </c>
      <c r="B112" s="138" t="str">
        <f>IF(OR(Option_Chain_Data[[#This Row],[InterPretation]]="Long Build UP",Option_Chain_Data[[#This Row],[InterPretation]]="Short Covering"),"BULLISH",IF(OR(Option_Chain_Data[[#This Row],[InterPretation]]="LongLiquidation",Option_Chain_Data[[#This Row],[InterPretation]]="Short Build UP"),"BEARISH",""))</f>
        <v/>
      </c>
      <c r="C11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112" s="138" t="str">
        <f>IF(Option_Chain_Data[[#This Row],[Call.changeinOpenInterest]]&gt;0,"UP",IF(Option_Chain_Data[[#This Row],[Call.changeinOpenInterest]]&lt;0,"DOWN",""))</f>
        <v>DOWN</v>
      </c>
      <c r="E112" s="138" t="str">
        <f>IF(Option_Chain_Data[[#This Row],[CAll.change]]&gt;0,"UP",IF(Option_Chain_Data[[#This Row],[CAll.change]]&lt;0,"DOWN",""))</f>
        <v>DOWN</v>
      </c>
      <c r="F112" s="139">
        <v>11285</v>
      </c>
      <c r="G112" s="139">
        <v>-178</v>
      </c>
      <c r="H112" s="139">
        <v>1140</v>
      </c>
      <c r="I112" s="139">
        <v>60.98</v>
      </c>
      <c r="J112" s="139">
        <v>0.55000000000000004</v>
      </c>
      <c r="K112" s="139">
        <v>-9.9999999999999978E-2</v>
      </c>
      <c r="L112" s="140">
        <v>19900</v>
      </c>
      <c r="M112" s="139">
        <v>0</v>
      </c>
      <c r="N112" s="139">
        <v>0</v>
      </c>
      <c r="O112" s="139">
        <v>0</v>
      </c>
      <c r="P112" s="139">
        <v>0</v>
      </c>
      <c r="Q112" s="139">
        <v>0</v>
      </c>
      <c r="R112" s="139">
        <v>0</v>
      </c>
      <c r="S112" s="139">
        <v>18227.5</v>
      </c>
      <c r="T112" s="138" t="str">
        <f>IF(Option_Chain_Data[[#This Row],[PUT.change]]&gt;0,"UP",IF(Option_Chain_Data[[#This Row],[PUT.change]]&lt;0,"DOWN",""))</f>
        <v/>
      </c>
      <c r="U112" s="138" t="str">
        <f>IF(Option_Chain_Data[[#This Row],[PUT.changeinOpenInterest]]&gt;0,"UP",IF(Option_Chain_Data[[#This Row],[PUT.changeinOpenInterest]]&lt;0,"DOWN",""))</f>
        <v/>
      </c>
      <c r="V11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12" s="138" t="str">
        <f>IF(OR(Option_Chain_Data[[#This Row],[InterPretation2]]="Long Build UP",Option_Chain_Data[[#This Row],[InterPretation2]]="Short Covering"),"BULLISH",IF(OR(Option_Chain_Data[[#This Row],[InterPretation2]]="Long Liquidation",Option_Chain_Data[[#This Row],[InterPretation2]]="Short Build UP"),"BEARISH",""))</f>
        <v/>
      </c>
    </row>
    <row r="113" spans="1:23" ht="19.8" x14ac:dyDescent="0.4">
      <c r="A113" s="143" t="s">
        <v>123</v>
      </c>
      <c r="B113" s="492" t="str">
        <f>IF(OR(Option_Chain_Data[[#This Row],[InterPretation]]="Long Build UP",Option_Chain_Data[[#This Row],[InterPretation]]="Short Covering"),"BULLISH",IF(OR(Option_Chain_Data[[#This Row],[InterPretation]]="LongLiquidation",Option_Chain_Data[[#This Row],[InterPretation]]="Short Build UP"),"BEARISH",""))</f>
        <v/>
      </c>
      <c r="C113" s="492"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113" s="492" t="str">
        <f>IF(Option_Chain_Data[[#This Row],[Call.changeinOpenInterest]]&gt;0,"UP",IF(Option_Chain_Data[[#This Row],[Call.changeinOpenInterest]]&lt;0,"DOWN",""))</f>
        <v>DOWN</v>
      </c>
      <c r="E113" s="492" t="str">
        <f>IF(Option_Chain_Data[[#This Row],[CAll.change]]&gt;0,"UP",IF(Option_Chain_Data[[#This Row],[CAll.change]]&lt;0,"DOWN",""))</f>
        <v>DOWN</v>
      </c>
      <c r="F113" s="493">
        <v>10191</v>
      </c>
      <c r="G113" s="493">
        <v>-310</v>
      </c>
      <c r="H113" s="493">
        <v>732</v>
      </c>
      <c r="I113" s="493">
        <v>62.08</v>
      </c>
      <c r="J113" s="493">
        <v>0.5</v>
      </c>
      <c r="K113" s="493">
        <v>-0.25</v>
      </c>
      <c r="L113" s="494">
        <v>19950</v>
      </c>
      <c r="M113" s="493">
        <v>0</v>
      </c>
      <c r="N113" s="493">
        <v>0</v>
      </c>
      <c r="O113" s="493">
        <v>0</v>
      </c>
      <c r="P113" s="493">
        <v>0</v>
      </c>
      <c r="Q113" s="493">
        <v>0</v>
      </c>
      <c r="R113" s="493">
        <v>0</v>
      </c>
      <c r="S113" s="493">
        <v>18222.349999999999</v>
      </c>
      <c r="T113" s="492" t="str">
        <f>IF(Option_Chain_Data[[#This Row],[PUT.change]]&gt;0,"UP",IF(Option_Chain_Data[[#This Row],[PUT.change]]&lt;0,"DOWN",""))</f>
        <v/>
      </c>
      <c r="U113" s="492" t="str">
        <f>IF(Option_Chain_Data[[#This Row],[PUT.changeinOpenInterest]]&gt;0,"UP",IF(Option_Chain_Data[[#This Row],[PUT.changeinOpenInterest]]&lt;0,"DOWN",""))</f>
        <v/>
      </c>
      <c r="V113" s="495"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113" s="492" t="str">
        <f>IF(OR(Option_Chain_Data[[#This Row],[InterPretation2]]="Long Build UP",Option_Chain_Data[[#This Row],[InterPretation2]]="Short Covering"),"BULLISH",IF(OR(Option_Chain_Data[[#This Row],[InterPretation2]]="Long Liquidation",Option_Chain_Data[[#This Row],[InterPretation2]]="Short Build UP"),"BEARISH",""))</f>
        <v/>
      </c>
    </row>
    <row r="121" spans="1:23" x14ac:dyDescent="0.3">
      <c r="B121" s="145" t="s">
        <v>50</v>
      </c>
      <c r="C121" s="145" t="s">
        <v>51</v>
      </c>
    </row>
    <row r="122" spans="1:23" x14ac:dyDescent="0.3">
      <c r="B122" s="145" t="s">
        <v>52</v>
      </c>
      <c r="C122" s="145" t="s">
        <v>124</v>
      </c>
    </row>
    <row r="146" spans="2:23" x14ac:dyDescent="0.3">
      <c r="B146" s="146"/>
      <c r="C146" s="146"/>
      <c r="D146" s="146"/>
      <c r="E146" s="146" t="s">
        <v>27</v>
      </c>
      <c r="F146" s="144">
        <f>SUM(F44:F86)</f>
        <v>1335687</v>
      </c>
      <c r="G146" s="144">
        <f>SUM(G44:G86)*75</f>
        <v>23583300</v>
      </c>
      <c r="H146" s="147"/>
      <c r="I146" s="147"/>
      <c r="J146" s="147"/>
      <c r="K146" s="147"/>
      <c r="L146" s="148"/>
      <c r="M146" s="147"/>
      <c r="N146" s="147"/>
      <c r="O146" s="147"/>
      <c r="P146" s="147"/>
      <c r="Q146" s="144">
        <f>SUM(Q44:Q86)*75</f>
        <v>26541675</v>
      </c>
      <c r="R146" s="144">
        <f>SUM(R44:R86)</f>
        <v>1665497</v>
      </c>
      <c r="S146" s="147"/>
      <c r="T146" s="146"/>
      <c r="U146" s="146"/>
      <c r="V146" s="146"/>
      <c r="W146" s="146"/>
    </row>
    <row r="152" spans="2:23" x14ac:dyDescent="0.3">
      <c r="F152" s="97">
        <f>F146*75</f>
        <v>100176525</v>
      </c>
      <c r="G152" s="97">
        <f>G146*75</f>
        <v>1768747500</v>
      </c>
    </row>
  </sheetData>
  <mergeCells count="2">
    <mergeCell ref="M8:W8"/>
    <mergeCell ref="A8:K8"/>
  </mergeCells>
  <phoneticPr fontId="3" type="noConversion"/>
  <conditionalFormatting sqref="B10:W113">
    <cfRule type="containsText" dxfId="33" priority="18" operator="containsText" text="DOWN">
      <formula>NOT(ISERROR(SEARCH("DOWN",B10)))</formula>
    </cfRule>
    <cfRule type="containsText" dxfId="32" priority="19" operator="containsText" text="UP">
      <formula>NOT(ISERROR(SEARCH("UP",B10)))</formula>
    </cfRule>
    <cfRule type="containsText" dxfId="31" priority="20" operator="containsText" text="Short BuildUP">
      <formula>NOT(ISERROR(SEARCH("Short BuildUP",B10)))</formula>
    </cfRule>
    <cfRule type="containsText" dxfId="30" priority="21" operator="containsText" text="LongLiquidation">
      <formula>NOT(ISERROR(SEARCH("LongLiquidation",B10)))</formula>
    </cfRule>
    <cfRule type="containsText" dxfId="29" priority="22" operator="containsText" text="Short Covering">
      <formula>NOT(ISERROR(SEARCH("Short Covering",B10)))</formula>
    </cfRule>
    <cfRule type="containsText" dxfId="28" priority="23" operator="containsText" text="Long BuildUP">
      <formula>NOT(ISERROR(SEARCH("Long BuildUP",B10)))</formula>
    </cfRule>
    <cfRule type="containsText" dxfId="27" priority="24" operator="containsText" text="BEARISH">
      <formula>NOT(ISERROR(SEARCH("BEARISH",B10)))</formula>
    </cfRule>
    <cfRule type="containsText" dxfId="26" priority="25" operator="containsText" text="BULLISH">
      <formula>NOT(ISERROR(SEARCH("BULLISH",B10)))</formula>
    </cfRule>
  </conditionalFormatting>
  <conditionalFormatting sqref="B9:W113">
    <cfRule type="expression" dxfId="25" priority="11">
      <formula>OR(CELL("row")=CELL("row",B9))</formula>
    </cfRule>
  </conditionalFormatting>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iconSet" priority="17" id="{EBC59C8E-6BF7-40DC-9ABE-D81C44EDF543}">
            <x14:iconSet iconSet="3Arrows" custom="1">
              <x14:cfvo type="percent">
                <xm:f>0</xm:f>
              </x14:cfvo>
              <x14:cfvo type="num">
                <xm:f>0</xm:f>
              </x14:cfvo>
              <x14:cfvo type="num">
                <xm:f>0</xm:f>
              </x14:cfvo>
              <x14:cfIcon iconSet="3Arrows" iconId="0"/>
              <x14:cfIcon iconSet="3Arrows" iconId="0"/>
              <x14:cfIcon iconSet="3Arrows" iconId="2"/>
            </x14:iconSet>
          </x14:cfRule>
          <xm:sqref>E2:E7 K1:K2 K5:K1048576 Q1:Q1048576 G4:G1048576 M8:M1048576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3A4BA-5463-46B2-BBAA-3D9EC20D5A6D}">
  <sheetPr codeName="Sheet7"/>
  <dimension ref="A1:Y27"/>
  <sheetViews>
    <sheetView showGridLines="0" workbookViewId="0"/>
  </sheetViews>
  <sheetFormatPr defaultColWidth="8.88671875" defaultRowHeight="14.4" x14ac:dyDescent="0.3"/>
  <cols>
    <col min="1" max="22" width="8.88671875" style="10"/>
    <col min="23" max="23" width="6.6640625" style="10" customWidth="1"/>
    <col min="24" max="16384" width="8.88671875" style="10"/>
  </cols>
  <sheetData>
    <row r="1" spans="1:25" x14ac:dyDescent="0.3">
      <c r="A1" s="56"/>
      <c r="B1" s="56"/>
      <c r="C1" s="56"/>
      <c r="D1" s="56"/>
      <c r="E1" s="56"/>
      <c r="F1" s="56"/>
      <c r="G1" s="56"/>
      <c r="H1" s="56"/>
      <c r="I1" s="56"/>
      <c r="J1" s="56"/>
      <c r="K1" s="56"/>
      <c r="L1" s="56"/>
      <c r="M1" s="56"/>
      <c r="N1" s="56"/>
      <c r="O1" s="56"/>
      <c r="P1" s="56"/>
      <c r="Q1" s="56"/>
      <c r="R1" s="56"/>
      <c r="S1" s="56"/>
      <c r="T1" s="56"/>
    </row>
    <row r="2" spans="1:25" ht="15" thickBot="1" x14ac:dyDescent="0.35">
      <c r="A2" s="56"/>
      <c r="B2" s="56"/>
      <c r="C2" s="56"/>
      <c r="D2" s="56"/>
      <c r="E2" s="56"/>
      <c r="F2" s="56"/>
      <c r="G2" s="56"/>
      <c r="H2" s="56"/>
      <c r="I2" s="56"/>
      <c r="J2" s="56"/>
      <c r="K2" s="56"/>
      <c r="L2" s="56"/>
      <c r="M2" s="56"/>
      <c r="N2" s="56"/>
      <c r="O2" s="56"/>
      <c r="P2" s="56"/>
      <c r="Q2" s="56"/>
      <c r="R2" s="56"/>
      <c r="S2" s="56"/>
      <c r="T2" s="56"/>
    </row>
    <row r="3" spans="1:25" ht="15" thickBot="1" x14ac:dyDescent="0.35">
      <c r="A3" s="56"/>
      <c r="B3" s="56"/>
      <c r="C3" s="56"/>
      <c r="D3" s="56"/>
      <c r="E3" s="56"/>
      <c r="F3" s="56"/>
      <c r="G3" s="56"/>
      <c r="H3" s="56"/>
      <c r="I3" s="56"/>
      <c r="J3" s="56"/>
      <c r="K3" s="56"/>
      <c r="L3" s="56"/>
      <c r="M3" s="56"/>
      <c r="N3" s="56"/>
      <c r="O3" s="56"/>
      <c r="P3" s="56"/>
      <c r="Q3" s="56"/>
      <c r="R3" s="56"/>
      <c r="S3" s="56"/>
      <c r="T3" s="56"/>
      <c r="U3" s="486" t="s">
        <v>78</v>
      </c>
      <c r="V3" s="487"/>
      <c r="W3" s="488"/>
      <c r="X3" s="95"/>
      <c r="Y3" s="95"/>
    </row>
    <row r="4" spans="1:25" x14ac:dyDescent="0.3">
      <c r="A4" s="56"/>
      <c r="B4" s="56"/>
      <c r="C4" s="56"/>
      <c r="D4" s="56"/>
      <c r="E4" s="56"/>
      <c r="F4" s="56"/>
      <c r="G4" s="56"/>
      <c r="H4" s="56"/>
      <c r="I4" s="56"/>
      <c r="J4" s="56"/>
      <c r="K4" s="56"/>
      <c r="L4" s="56"/>
      <c r="M4" s="56"/>
      <c r="N4" s="56"/>
      <c r="O4" s="56"/>
      <c r="P4" s="56"/>
      <c r="Q4" s="56"/>
      <c r="R4" s="56"/>
      <c r="S4" s="56"/>
      <c r="T4" s="56"/>
    </row>
    <row r="5" spans="1:25" x14ac:dyDescent="0.3">
      <c r="A5" s="56"/>
      <c r="B5" s="56"/>
      <c r="C5" s="56"/>
      <c r="D5" s="56"/>
      <c r="E5" s="56"/>
      <c r="F5" s="56"/>
      <c r="G5" s="56"/>
      <c r="H5" s="56"/>
      <c r="I5" s="56"/>
      <c r="J5" s="56"/>
      <c r="K5" s="56"/>
      <c r="L5" s="56"/>
      <c r="M5" s="56"/>
      <c r="N5" s="56"/>
      <c r="O5" s="56"/>
      <c r="P5" s="56"/>
      <c r="Q5" s="56"/>
      <c r="R5" s="56"/>
      <c r="S5" s="56"/>
      <c r="T5" s="56"/>
    </row>
    <row r="6" spans="1:25" x14ac:dyDescent="0.3">
      <c r="A6" s="56"/>
      <c r="B6" s="56"/>
      <c r="C6" s="56"/>
      <c r="D6" s="56"/>
      <c r="E6" s="56"/>
      <c r="F6" s="56"/>
      <c r="G6" s="56"/>
      <c r="H6" s="56"/>
      <c r="I6" s="56"/>
      <c r="J6" s="56"/>
      <c r="K6" s="56"/>
      <c r="L6" s="56"/>
      <c r="M6" s="56"/>
      <c r="N6" s="56"/>
      <c r="O6" s="56"/>
      <c r="P6" s="56"/>
      <c r="Q6" s="56"/>
      <c r="R6" s="56"/>
      <c r="S6" s="56"/>
      <c r="T6" s="56"/>
    </row>
    <row r="7" spans="1:25" x14ac:dyDescent="0.3">
      <c r="A7" s="56"/>
      <c r="B7" s="56"/>
      <c r="C7" s="56"/>
      <c r="D7" s="56"/>
      <c r="E7" s="56"/>
      <c r="F7" s="56"/>
      <c r="G7" s="56"/>
      <c r="H7" s="56"/>
      <c r="I7" s="56"/>
      <c r="J7" s="56"/>
      <c r="K7" s="56"/>
      <c r="L7" s="56"/>
      <c r="M7" s="56"/>
      <c r="N7" s="56"/>
      <c r="O7" s="56"/>
      <c r="P7" s="56"/>
      <c r="Q7" s="56"/>
      <c r="R7" s="56"/>
      <c r="S7" s="56"/>
      <c r="T7" s="56"/>
    </row>
    <row r="8" spans="1:25" x14ac:dyDescent="0.3">
      <c r="A8" s="56"/>
      <c r="B8" s="56"/>
      <c r="C8" s="56"/>
      <c r="D8" s="56"/>
      <c r="E8" s="56"/>
      <c r="F8" s="56"/>
      <c r="G8" s="56"/>
      <c r="H8" s="56"/>
      <c r="I8" s="56"/>
      <c r="J8" s="56"/>
      <c r="K8" s="56"/>
      <c r="L8" s="56"/>
      <c r="M8" s="56"/>
      <c r="N8" s="56"/>
      <c r="O8" s="56"/>
      <c r="P8" s="56"/>
      <c r="Q8" s="56"/>
      <c r="R8" s="56"/>
      <c r="S8" s="56"/>
      <c r="T8" s="56"/>
    </row>
    <row r="9" spans="1:25" x14ac:dyDescent="0.3">
      <c r="A9" s="56"/>
      <c r="B9" s="56"/>
      <c r="C9" s="56"/>
      <c r="D9" s="56"/>
      <c r="E9" s="56"/>
      <c r="F9" s="56"/>
      <c r="G9" s="56"/>
      <c r="H9" s="56"/>
      <c r="I9" s="56"/>
      <c r="J9" s="56"/>
      <c r="K9" s="56"/>
      <c r="L9" s="56"/>
      <c r="M9" s="56"/>
      <c r="N9" s="56"/>
      <c r="O9" s="56"/>
      <c r="P9" s="56"/>
      <c r="Q9" s="56"/>
      <c r="R9" s="56"/>
      <c r="S9" s="56"/>
      <c r="T9" s="56"/>
    </row>
    <row r="10" spans="1:25" x14ac:dyDescent="0.3">
      <c r="A10" s="56"/>
      <c r="B10" s="56"/>
      <c r="C10" s="56"/>
      <c r="D10" s="56"/>
      <c r="E10" s="56"/>
      <c r="F10" s="56"/>
      <c r="G10" s="56"/>
      <c r="H10" s="56"/>
      <c r="I10" s="56"/>
      <c r="J10" s="56"/>
      <c r="K10" s="56"/>
      <c r="L10" s="56"/>
      <c r="M10" s="56"/>
      <c r="N10" s="56"/>
      <c r="O10" s="56"/>
      <c r="P10" s="56"/>
      <c r="Q10" s="56"/>
      <c r="R10" s="56"/>
      <c r="S10" s="56"/>
      <c r="T10" s="56"/>
    </row>
    <row r="11" spans="1:25" x14ac:dyDescent="0.3">
      <c r="A11" s="56"/>
      <c r="B11" s="56"/>
      <c r="C11" s="56"/>
      <c r="D11" s="56"/>
      <c r="E11" s="56"/>
      <c r="F11" s="56"/>
      <c r="G11" s="56"/>
      <c r="H11" s="56"/>
      <c r="I11" s="56"/>
      <c r="J11" s="56"/>
      <c r="K11" s="56"/>
      <c r="L11" s="56"/>
      <c r="M11" s="56"/>
      <c r="N11" s="56"/>
      <c r="O11" s="56"/>
      <c r="P11" s="56"/>
      <c r="Q11" s="56"/>
      <c r="R11" s="56"/>
      <c r="S11" s="56"/>
      <c r="T11" s="56"/>
    </row>
    <row r="12" spans="1:25" x14ac:dyDescent="0.3">
      <c r="A12" s="56"/>
      <c r="B12" s="56"/>
      <c r="C12" s="56"/>
      <c r="D12" s="56"/>
      <c r="E12" s="56"/>
      <c r="F12" s="56"/>
      <c r="G12" s="56"/>
      <c r="H12" s="56"/>
      <c r="I12" s="56"/>
      <c r="J12" s="56"/>
      <c r="K12" s="56"/>
      <c r="L12" s="56"/>
      <c r="M12" s="56"/>
      <c r="N12" s="56"/>
      <c r="O12" s="56"/>
      <c r="P12" s="56"/>
      <c r="Q12" s="56"/>
      <c r="R12" s="56"/>
      <c r="S12" s="56"/>
      <c r="T12" s="56"/>
    </row>
    <row r="13" spans="1:25" x14ac:dyDescent="0.3">
      <c r="A13" s="56"/>
      <c r="B13" s="56"/>
      <c r="C13" s="56"/>
      <c r="D13" s="56"/>
      <c r="E13" s="56"/>
      <c r="F13" s="56"/>
      <c r="G13" s="56"/>
      <c r="H13" s="56"/>
      <c r="I13" s="56"/>
      <c r="J13" s="56"/>
      <c r="K13" s="56"/>
      <c r="L13" s="56"/>
      <c r="M13" s="56"/>
      <c r="N13" s="56"/>
      <c r="O13" s="56"/>
      <c r="P13" s="56"/>
      <c r="Q13" s="56"/>
      <c r="R13" s="56"/>
      <c r="S13" s="56"/>
      <c r="T13" s="56"/>
    </row>
    <row r="14" spans="1:25" x14ac:dyDescent="0.3">
      <c r="A14" s="56"/>
      <c r="B14" s="56"/>
      <c r="C14" s="56"/>
      <c r="D14" s="56"/>
      <c r="E14" s="56"/>
      <c r="F14" s="56"/>
      <c r="G14" s="56"/>
      <c r="H14" s="56"/>
      <c r="I14" s="56"/>
      <c r="J14" s="56"/>
      <c r="K14" s="56"/>
      <c r="L14" s="56"/>
      <c r="M14" s="56"/>
      <c r="N14" s="56"/>
      <c r="O14" s="56"/>
      <c r="P14" s="56"/>
      <c r="Q14" s="56"/>
      <c r="R14" s="56"/>
      <c r="S14" s="56"/>
      <c r="T14" s="56"/>
    </row>
    <row r="15" spans="1:25" x14ac:dyDescent="0.3">
      <c r="A15" s="56"/>
      <c r="B15" s="56"/>
      <c r="C15" s="56"/>
      <c r="D15" s="56"/>
      <c r="E15" s="56"/>
      <c r="F15" s="56"/>
      <c r="G15" s="56"/>
      <c r="H15" s="56"/>
      <c r="I15" s="56"/>
      <c r="J15" s="56"/>
      <c r="K15" s="56"/>
      <c r="L15" s="56"/>
      <c r="M15" s="56"/>
      <c r="N15" s="56"/>
      <c r="O15" s="56"/>
      <c r="P15" s="56"/>
      <c r="Q15" s="56"/>
      <c r="R15" s="56"/>
      <c r="S15" s="56"/>
      <c r="T15" s="56"/>
    </row>
    <row r="16" spans="1:25" x14ac:dyDescent="0.3">
      <c r="A16" s="56"/>
      <c r="B16" s="56"/>
      <c r="C16" s="56"/>
      <c r="D16" s="56"/>
      <c r="E16" s="56"/>
      <c r="F16" s="56"/>
      <c r="G16" s="56"/>
      <c r="H16" s="56"/>
      <c r="I16" s="56"/>
      <c r="J16" s="56"/>
      <c r="K16" s="56"/>
      <c r="L16" s="56"/>
      <c r="M16" s="56"/>
      <c r="N16" s="56"/>
      <c r="O16" s="56"/>
      <c r="P16" s="56"/>
      <c r="Q16" s="56"/>
      <c r="R16" s="56"/>
      <c r="S16" s="56"/>
      <c r="T16" s="56"/>
    </row>
    <row r="17" spans="1:20" x14ac:dyDescent="0.3">
      <c r="A17" s="56"/>
      <c r="B17" s="56"/>
      <c r="C17" s="56"/>
      <c r="D17" s="56"/>
      <c r="E17" s="56"/>
      <c r="F17" s="56"/>
      <c r="G17" s="56"/>
      <c r="H17" s="56"/>
      <c r="I17" s="56"/>
      <c r="J17" s="56"/>
      <c r="K17" s="56"/>
      <c r="L17" s="56"/>
      <c r="M17" s="56"/>
      <c r="N17" s="56"/>
      <c r="O17" s="56"/>
      <c r="P17" s="56"/>
      <c r="Q17" s="56"/>
      <c r="R17" s="56"/>
      <c r="S17" s="56"/>
      <c r="T17" s="56"/>
    </row>
    <row r="18" spans="1:20" x14ac:dyDescent="0.3">
      <c r="A18" s="56"/>
      <c r="B18" s="56"/>
      <c r="C18" s="56"/>
      <c r="D18" s="56"/>
      <c r="E18" s="56"/>
      <c r="F18" s="56"/>
      <c r="G18" s="56"/>
      <c r="H18" s="56"/>
      <c r="I18" s="56"/>
      <c r="J18" s="56"/>
      <c r="K18" s="56"/>
      <c r="L18" s="56"/>
      <c r="M18" s="56"/>
      <c r="N18" s="56"/>
      <c r="O18" s="56"/>
      <c r="P18" s="56"/>
      <c r="Q18" s="56"/>
      <c r="R18" s="56"/>
      <c r="S18" s="56"/>
      <c r="T18" s="56"/>
    </row>
    <row r="19" spans="1:20" x14ac:dyDescent="0.3">
      <c r="A19" s="56"/>
      <c r="B19" s="56"/>
      <c r="C19" s="56"/>
      <c r="D19" s="56"/>
      <c r="E19" s="56"/>
      <c r="F19" s="56"/>
      <c r="G19" s="56"/>
      <c r="H19" s="56"/>
      <c r="I19" s="56"/>
      <c r="J19" s="56"/>
      <c r="K19" s="56"/>
      <c r="L19" s="56"/>
      <c r="M19" s="56"/>
      <c r="N19" s="56"/>
      <c r="O19" s="56"/>
      <c r="P19" s="56"/>
      <c r="Q19" s="56"/>
      <c r="R19" s="56"/>
      <c r="S19" s="56"/>
      <c r="T19" s="56"/>
    </row>
    <row r="20" spans="1:20" x14ac:dyDescent="0.3">
      <c r="A20" s="56"/>
      <c r="B20" s="56"/>
      <c r="C20" s="56"/>
      <c r="D20" s="56"/>
      <c r="E20" s="56"/>
      <c r="F20" s="56"/>
      <c r="G20" s="56"/>
      <c r="H20" s="56"/>
      <c r="I20" s="56"/>
      <c r="J20" s="56"/>
      <c r="K20" s="56"/>
      <c r="L20" s="56"/>
      <c r="M20" s="56"/>
      <c r="N20" s="56"/>
      <c r="O20" s="56"/>
      <c r="P20" s="56"/>
      <c r="Q20" s="56"/>
      <c r="R20" s="56"/>
      <c r="S20" s="56"/>
      <c r="T20" s="56"/>
    </row>
    <row r="21" spans="1:20" x14ac:dyDescent="0.3">
      <c r="A21" s="56"/>
      <c r="B21" s="56"/>
      <c r="C21" s="56"/>
      <c r="D21" s="56"/>
      <c r="E21" s="56"/>
      <c r="F21" s="56"/>
      <c r="G21" s="56"/>
      <c r="H21" s="56"/>
      <c r="I21" s="56"/>
      <c r="J21" s="56"/>
      <c r="K21" s="56"/>
      <c r="L21" s="56"/>
      <c r="M21" s="56"/>
      <c r="N21" s="56"/>
      <c r="O21" s="56"/>
      <c r="P21" s="56"/>
      <c r="Q21" s="56"/>
      <c r="R21" s="56"/>
      <c r="S21" s="56"/>
      <c r="T21" s="56"/>
    </row>
    <row r="22" spans="1:20" x14ac:dyDescent="0.3">
      <c r="A22" s="56"/>
      <c r="B22" s="56"/>
      <c r="C22" s="56"/>
      <c r="D22" s="56"/>
      <c r="E22" s="56"/>
      <c r="F22" s="56"/>
      <c r="G22" s="56"/>
      <c r="H22" s="56"/>
      <c r="I22" s="56"/>
      <c r="J22" s="56"/>
      <c r="K22" s="56"/>
      <c r="L22" s="56"/>
      <c r="M22" s="56"/>
      <c r="N22" s="56"/>
      <c r="O22" s="56"/>
      <c r="P22" s="56"/>
      <c r="Q22" s="56"/>
      <c r="R22" s="56"/>
      <c r="S22" s="56"/>
      <c r="T22" s="56"/>
    </row>
    <row r="23" spans="1:20" x14ac:dyDescent="0.3">
      <c r="A23" s="56"/>
      <c r="B23" s="56"/>
      <c r="C23" s="56"/>
      <c r="D23" s="56"/>
      <c r="E23" s="56"/>
      <c r="F23" s="56"/>
      <c r="G23" s="56"/>
      <c r="H23" s="56"/>
      <c r="I23" s="56"/>
      <c r="J23" s="56"/>
      <c r="K23" s="56"/>
      <c r="L23" s="56"/>
      <c r="M23" s="56"/>
      <c r="N23" s="56"/>
      <c r="O23" s="56"/>
      <c r="P23" s="56"/>
      <c r="Q23" s="56"/>
      <c r="R23" s="56"/>
      <c r="S23" s="56"/>
      <c r="T23" s="56"/>
    </row>
    <row r="24" spans="1:20" x14ac:dyDescent="0.3">
      <c r="A24" s="56"/>
      <c r="B24" s="56"/>
      <c r="C24" s="56"/>
      <c r="D24" s="56"/>
      <c r="E24" s="56"/>
      <c r="F24" s="56"/>
      <c r="G24" s="56"/>
      <c r="H24" s="56"/>
      <c r="I24" s="56"/>
      <c r="J24" s="56"/>
      <c r="K24" s="56"/>
      <c r="L24" s="56"/>
      <c r="M24" s="56"/>
      <c r="N24" s="56"/>
      <c r="O24" s="56"/>
      <c r="P24" s="56"/>
      <c r="Q24" s="56"/>
      <c r="R24" s="56"/>
      <c r="S24" s="56"/>
      <c r="T24" s="56"/>
    </row>
    <row r="25" spans="1:20" x14ac:dyDescent="0.3">
      <c r="A25" s="56"/>
      <c r="B25" s="56"/>
      <c r="C25" s="56"/>
      <c r="D25" s="56"/>
      <c r="E25" s="56"/>
      <c r="F25" s="56"/>
      <c r="G25" s="56"/>
      <c r="H25" s="56"/>
      <c r="I25" s="56"/>
      <c r="J25" s="56"/>
      <c r="K25" s="56"/>
      <c r="L25" s="56"/>
      <c r="M25" s="56"/>
      <c r="N25" s="56"/>
      <c r="O25" s="56"/>
      <c r="P25" s="56"/>
      <c r="Q25" s="56"/>
      <c r="R25" s="56"/>
      <c r="S25" s="56"/>
      <c r="T25" s="56"/>
    </row>
    <row r="26" spans="1:20" x14ac:dyDescent="0.3">
      <c r="A26" s="56"/>
      <c r="B26" s="56"/>
      <c r="C26" s="56"/>
      <c r="D26" s="56"/>
      <c r="E26" s="56"/>
      <c r="F26" s="56"/>
      <c r="G26" s="56"/>
      <c r="H26" s="56"/>
      <c r="I26" s="56"/>
      <c r="J26" s="56"/>
      <c r="K26" s="56"/>
      <c r="L26" s="56"/>
      <c r="M26" s="56"/>
      <c r="N26" s="56"/>
      <c r="O26" s="56"/>
      <c r="P26" s="56"/>
      <c r="Q26" s="56"/>
      <c r="R26" s="56"/>
      <c r="S26" s="56"/>
      <c r="T26" s="56"/>
    </row>
    <row r="27" spans="1:20" x14ac:dyDescent="0.3">
      <c r="A27" s="56"/>
      <c r="B27" s="56"/>
      <c r="C27" s="56"/>
      <c r="D27" s="56"/>
      <c r="E27" s="56"/>
      <c r="F27" s="56"/>
      <c r="G27" s="56"/>
      <c r="H27" s="56"/>
      <c r="I27" s="56"/>
      <c r="J27" s="56"/>
      <c r="K27" s="56"/>
      <c r="L27" s="56"/>
      <c r="M27" s="56"/>
      <c r="N27" s="56"/>
      <c r="O27" s="56"/>
      <c r="P27" s="56"/>
      <c r="Q27" s="56"/>
      <c r="R27" s="56"/>
      <c r="S27" s="56"/>
      <c r="T27" s="56"/>
    </row>
  </sheetData>
  <sheetProtection algorithmName="SHA-512" hashValue="/PR6DBGk64JBeeU7iba6KkNoj7aFw9hlH16PtJhoISGF8V4HzXEoj/4uQfo79JG4uJHUM8LrjB8+rkiW3gl+Pg==" saltValue="LEb/lzFTzwnw4PO7HXCWbw==" spinCount="100000" sheet="1" objects="1" scenarios="1"/>
  <mergeCells count="1">
    <mergeCell ref="U3:W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E2A0E-BD2F-4FCD-B33B-B91AE531DF4D}">
  <sheetPr codeName="Sheet5"/>
  <dimension ref="A1:P20"/>
  <sheetViews>
    <sheetView showGridLines="0" workbookViewId="0"/>
  </sheetViews>
  <sheetFormatPr defaultColWidth="8.88671875" defaultRowHeight="14.4" x14ac:dyDescent="0.3"/>
  <cols>
    <col min="1" max="3" width="8.88671875" style="10"/>
    <col min="4" max="4" width="13.6640625" style="10" customWidth="1"/>
    <col min="5" max="5" width="15.109375" style="10" customWidth="1"/>
    <col min="6" max="6" width="16.33203125" style="10" customWidth="1"/>
    <col min="7" max="7" width="10.33203125" style="10" bestFit="1" customWidth="1"/>
    <col min="8" max="11" width="8.88671875" style="10"/>
    <col min="12" max="12" width="10" style="10" customWidth="1"/>
    <col min="13" max="16384" width="8.88671875" style="10"/>
  </cols>
  <sheetData>
    <row r="1" spans="1:16" ht="15" thickBot="1" x14ac:dyDescent="0.35">
      <c r="A1" s="84" t="s">
        <v>55</v>
      </c>
      <c r="B1" s="84" t="s">
        <v>59</v>
      </c>
      <c r="C1" s="84" t="s">
        <v>60</v>
      </c>
      <c r="D1" s="84" t="s">
        <v>61</v>
      </c>
      <c r="E1" s="84" t="s">
        <v>62</v>
      </c>
      <c r="F1" s="84" t="s">
        <v>27</v>
      </c>
      <c r="G1" s="84" t="s">
        <v>59</v>
      </c>
      <c r="H1" s="85"/>
      <c r="I1" s="85"/>
      <c r="J1" s="85"/>
      <c r="K1" s="85"/>
      <c r="L1" s="85"/>
    </row>
    <row r="2" spans="1:16" ht="20.399999999999999" thickBot="1" x14ac:dyDescent="0.45">
      <c r="A2" s="86">
        <f>IFERROR(OptionAnalysis!B7,"")*75</f>
        <v>305625</v>
      </c>
      <c r="B2" s="87">
        <f>IFERROR(OptionAnalysis!H7,"")</f>
        <v>17750</v>
      </c>
      <c r="C2" s="86">
        <f>IFERROR(OptionAnalysis!N7,"")*75</f>
        <v>2380275</v>
      </c>
      <c r="D2" s="86">
        <f>IFERROR($B2*SUM(A2:$A$2)-SUMPRODUCT($B2:B$2,$A2:A$2),0)</f>
        <v>0</v>
      </c>
      <c r="E2" s="86">
        <f>IFERROR(SUMPRODUCT($B2:B$14,$C2:C$14)-$B2*SUM($C2:C$14),0)</f>
        <v>23869526250</v>
      </c>
      <c r="F2" s="86">
        <f>SUM(D2:E2)</f>
        <v>23869526250</v>
      </c>
      <c r="G2" s="88">
        <f>B2</f>
        <v>17750</v>
      </c>
      <c r="H2" s="85"/>
      <c r="I2" s="85"/>
      <c r="J2" s="85"/>
      <c r="K2" s="85"/>
      <c r="L2" s="85"/>
      <c r="M2" s="489" t="s">
        <v>78</v>
      </c>
      <c r="N2" s="490"/>
      <c r="O2" s="490"/>
      <c r="P2" s="491"/>
    </row>
    <row r="3" spans="1:16" x14ac:dyDescent="0.3">
      <c r="A3" s="86">
        <f>IFERROR(OptionAnalysis!B8,"")*75</f>
        <v>837600</v>
      </c>
      <c r="B3" s="87">
        <f>IFERROR(OptionAnalysis!H8,"")</f>
        <v>17800</v>
      </c>
      <c r="C3" s="86">
        <f>IFERROR(OptionAnalysis!N8,"")*75</f>
        <v>6725175</v>
      </c>
      <c r="D3" s="86">
        <f>IFERROR($B3*SUM(A$2:$A3)-SUMPRODUCT($B$2:B3,$A$2:A3),0)</f>
        <v>15281250</v>
      </c>
      <c r="E3" s="86">
        <f>IFERROR(SUMPRODUCT($B3:B$14,$C3:C$14)-$B3*SUM($C3:C$14),0)</f>
        <v>19993383750</v>
      </c>
      <c r="F3" s="86">
        <f t="shared" ref="F3:F17" si="0">SUM(D3:E3)</f>
        <v>20008665000</v>
      </c>
      <c r="G3" s="88">
        <f t="shared" ref="G3:G17" si="1">B3</f>
        <v>17800</v>
      </c>
      <c r="H3" s="85"/>
      <c r="I3" s="85"/>
      <c r="J3" s="85"/>
      <c r="K3" s="85"/>
      <c r="L3" s="85"/>
    </row>
    <row r="4" spans="1:16" x14ac:dyDescent="0.3">
      <c r="A4" s="86">
        <f>IFERROR(OptionAnalysis!B9,"")*75</f>
        <v>41550</v>
      </c>
      <c r="B4" s="87">
        <f>IFERROR(OptionAnalysis!H9,"")</f>
        <v>17850</v>
      </c>
      <c r="C4" s="86">
        <f>IFERROR(OptionAnalysis!N9,"")*75</f>
        <v>2732100</v>
      </c>
      <c r="D4" s="86">
        <f>IFERROR($B4*SUM(A$2:$A4)-SUMPRODUCT($B$2:B4,$A$2:A4),0)</f>
        <v>72442500</v>
      </c>
      <c r="E4" s="86">
        <f>IFERROR(SUMPRODUCT($B4:B$14,$C4:C$14)-$B4*SUM($C4:C$14),0)</f>
        <v>16453500000</v>
      </c>
      <c r="F4" s="86">
        <f t="shared" si="0"/>
        <v>16525942500</v>
      </c>
      <c r="G4" s="88">
        <f t="shared" si="1"/>
        <v>17850</v>
      </c>
      <c r="H4" s="85"/>
      <c r="I4" s="85"/>
      <c r="J4" s="85"/>
      <c r="K4" s="85"/>
      <c r="L4" s="85"/>
    </row>
    <row r="5" spans="1:16" x14ac:dyDescent="0.3">
      <c r="A5" s="86">
        <f>IFERROR(OptionAnalysis!B10,"")*75</f>
        <v>388350</v>
      </c>
      <c r="B5" s="87">
        <f>IFERROR(OptionAnalysis!H10,"")</f>
        <v>17900</v>
      </c>
      <c r="C5" s="86">
        <f>IFERROR(OptionAnalysis!N10,"")*75</f>
        <v>6875625</v>
      </c>
      <c r="D5" s="86">
        <f>IFERROR($B5*SUM(A$2:$A5)-SUMPRODUCT($B$2:B5,$A$2:A5),0)</f>
        <v>131681250</v>
      </c>
      <c r="E5" s="86">
        <f>IFERROR(SUMPRODUCT($B5:B$14,$C5:C$14)-$B5*SUM($C5:C$14),0)</f>
        <v>13050221250</v>
      </c>
      <c r="F5" s="86">
        <f t="shared" si="0"/>
        <v>13181902500</v>
      </c>
      <c r="G5" s="88">
        <f t="shared" si="1"/>
        <v>17900</v>
      </c>
      <c r="H5" s="85"/>
      <c r="I5" s="85"/>
      <c r="J5" s="85"/>
      <c r="K5" s="85"/>
      <c r="L5" s="85"/>
    </row>
    <row r="6" spans="1:16" x14ac:dyDescent="0.3">
      <c r="A6" s="86">
        <f>IFERROR(OptionAnalysis!B11,"")*75</f>
        <v>77550</v>
      </c>
      <c r="B6" s="87">
        <f>IFERROR(OptionAnalysis!H11,"")</f>
        <v>17950</v>
      </c>
      <c r="C6" s="86">
        <f>IFERROR(OptionAnalysis!N11,"")*75</f>
        <v>3839700</v>
      </c>
      <c r="D6" s="86">
        <f>IFERROR($B6*SUM(A$2:$A6)-SUMPRODUCT($B$2:B6,$A$2:A6),0)</f>
        <v>210337500</v>
      </c>
      <c r="E6" s="86">
        <f>IFERROR(SUMPRODUCT($B6:B$14,$C6:C$14)-$B6*SUM($C6:C$14),0)</f>
        <v>9990723750</v>
      </c>
      <c r="F6" s="86">
        <f t="shared" si="0"/>
        <v>10201061250</v>
      </c>
      <c r="G6" s="88">
        <f t="shared" si="1"/>
        <v>17950</v>
      </c>
      <c r="H6" s="85"/>
      <c r="I6" s="85"/>
      <c r="J6" s="85"/>
      <c r="K6" s="85"/>
      <c r="L6" s="85"/>
    </row>
    <row r="7" spans="1:16" x14ac:dyDescent="0.3">
      <c r="A7" s="86">
        <f>IFERROR(OptionAnalysis!B12,"")*75</f>
        <v>5856375</v>
      </c>
      <c r="B7" s="87">
        <f>IFERROR(OptionAnalysis!H12,"")</f>
        <v>18000</v>
      </c>
      <c r="C7" s="86">
        <f>IFERROR(OptionAnalysis!N12,"")*75</f>
        <v>16354800</v>
      </c>
      <c r="D7" s="86">
        <f>IFERROR($B7*SUM(A$2:$A7)-SUMPRODUCT($B$2:B7,$A$2:A7),0)</f>
        <v>292871250</v>
      </c>
      <c r="E7" s="86">
        <f>IFERROR(SUMPRODUCT($B7:B$14,$C7:C$14)-$B7*SUM($C7:C$14),0)</f>
        <v>7123211250</v>
      </c>
      <c r="F7" s="86">
        <f t="shared" si="0"/>
        <v>7416082500</v>
      </c>
      <c r="G7" s="88">
        <f t="shared" si="1"/>
        <v>18000</v>
      </c>
      <c r="H7" s="85"/>
      <c r="I7" s="85"/>
      <c r="J7" s="85"/>
      <c r="K7" s="85"/>
      <c r="L7" s="85"/>
    </row>
    <row r="8" spans="1:16" x14ac:dyDescent="0.3">
      <c r="A8" s="86">
        <f>IFERROR(OptionAnalysis!B13,"")*75</f>
        <v>1097100</v>
      </c>
      <c r="B8" s="87">
        <f>IFERROR(OptionAnalysis!H13,"")</f>
        <v>18050</v>
      </c>
      <c r="C8" s="86">
        <f>IFERROR(OptionAnalysis!N13,"")*75</f>
        <v>4045350</v>
      </c>
      <c r="D8" s="86">
        <f>IFERROR($B8*SUM(A$2:$A8)-SUMPRODUCT($B$2:B8,$A$2:A8),0)</f>
        <v>668223750</v>
      </c>
      <c r="E8" s="86">
        <f>IFERROR(SUMPRODUCT($B8:B$14,$C8:C$14)-$B8*SUM($C8:C$14),0)</f>
        <v>5073438750</v>
      </c>
      <c r="F8" s="86">
        <f t="shared" si="0"/>
        <v>5741662500</v>
      </c>
      <c r="G8" s="88">
        <f t="shared" si="1"/>
        <v>18050</v>
      </c>
      <c r="H8" s="85"/>
      <c r="I8" s="85"/>
      <c r="J8" s="85"/>
      <c r="K8" s="85"/>
      <c r="L8" s="85"/>
    </row>
    <row r="9" spans="1:16" x14ac:dyDescent="0.3">
      <c r="A9" s="86">
        <f>IFERROR(OptionAnalysis!B14,"")*75</f>
        <v>6367575</v>
      </c>
      <c r="B9" s="87">
        <f>IFERROR(OptionAnalysis!H14,"")</f>
        <v>18100</v>
      </c>
      <c r="C9" s="86">
        <f>IFERROR(OptionAnalysis!N14,"")*75</f>
        <v>10904775</v>
      </c>
      <c r="D9" s="86">
        <f>IFERROR($B9*SUM(A$2:$A9)-SUMPRODUCT($B$2:B9,$A$2:A9),0)</f>
        <v>1098431250</v>
      </c>
      <c r="E9" s="86">
        <f>IFERROR(SUMPRODUCT($B9:B$14,$C9:C$14)-$B9*SUM($C9:C$14),0)</f>
        <v>3225933750</v>
      </c>
      <c r="F9" s="86">
        <f t="shared" si="0"/>
        <v>4324365000</v>
      </c>
      <c r="G9" s="88">
        <f t="shared" si="1"/>
        <v>18100</v>
      </c>
      <c r="H9" s="85"/>
      <c r="I9" s="85"/>
      <c r="J9" s="85"/>
      <c r="K9" s="85"/>
      <c r="L9" s="85"/>
    </row>
    <row r="10" spans="1:16" x14ac:dyDescent="0.3">
      <c r="A10" s="86">
        <f>IFERROR(OptionAnalysis!B15,"")*75</f>
        <v>1946700</v>
      </c>
      <c r="B10" s="87">
        <f>IFERROR(OptionAnalysis!H15,"")</f>
        <v>18150</v>
      </c>
      <c r="C10" s="86">
        <f>IFERROR(OptionAnalysis!N15,"")*75</f>
        <v>4578600</v>
      </c>
      <c r="D10" s="86">
        <f>IFERROR($B10*SUM(A$2:$A10)-SUMPRODUCT($B$2:B10,$A$2:A10),0)</f>
        <v>1847017500</v>
      </c>
      <c r="E10" s="86">
        <f>IFERROR(SUMPRODUCT($B10:B$14,$C10:C$14)-$B10*SUM($C10:C$14),0)</f>
        <v>1923667500</v>
      </c>
      <c r="F10" s="86">
        <f t="shared" si="0"/>
        <v>3770685000</v>
      </c>
      <c r="G10" s="88">
        <f t="shared" si="1"/>
        <v>18150</v>
      </c>
      <c r="H10" s="85"/>
      <c r="I10" s="85"/>
      <c r="J10" s="85"/>
      <c r="K10" s="85"/>
      <c r="L10" s="85"/>
    </row>
    <row r="11" spans="1:16" x14ac:dyDescent="0.3">
      <c r="A11" s="86">
        <f>IFERROR(OptionAnalysis!B16,"")*75</f>
        <v>10556325</v>
      </c>
      <c r="B11" s="87">
        <f>IFERROR(OptionAnalysis!H16,"")</f>
        <v>18200</v>
      </c>
      <c r="C11" s="86">
        <f>IFERROR(OptionAnalysis!N16,"")*75</f>
        <v>11087700</v>
      </c>
      <c r="D11" s="86">
        <f>IFERROR($B11*SUM(A$2:$A11)-SUMPRODUCT($B$2:B11,$A$2:A11),0)</f>
        <v>2692938750</v>
      </c>
      <c r="E11" s="86">
        <f>IFERROR(SUMPRODUCT($B11:B$14,$C11:C$14)-$B11*SUM($C11:C$14),0)</f>
        <v>850331250</v>
      </c>
      <c r="F11" s="86">
        <f t="shared" si="0"/>
        <v>3543270000</v>
      </c>
      <c r="G11" s="88">
        <f t="shared" si="1"/>
        <v>18200</v>
      </c>
      <c r="H11" s="85"/>
      <c r="I11" s="85"/>
      <c r="J11" s="85"/>
      <c r="K11" s="85"/>
      <c r="L11" s="85"/>
    </row>
    <row r="12" spans="1:16" x14ac:dyDescent="0.3">
      <c r="A12" s="86">
        <f>IFERROR(OptionAnalysis!B17,"")*75</f>
        <v>7382175</v>
      </c>
      <c r="B12" s="87">
        <f>IFERROR(OptionAnalysis!H17,"")</f>
        <v>18250</v>
      </c>
      <c r="C12" s="86">
        <f>IFERROR(OptionAnalysis!N17,"")*75</f>
        <v>4738350</v>
      </c>
      <c r="D12" s="86">
        <f>IFERROR($B12*SUM(A$2:$A12)-SUMPRODUCT($B$2:B12,$A$2:A12),0)</f>
        <v>4066676250</v>
      </c>
      <c r="E12" s="86">
        <f>IFERROR(SUMPRODUCT($B12:B$14,$C12:C$14)-$B12*SUM($C12:C$14),0)</f>
        <v>331380000</v>
      </c>
      <c r="F12" s="86">
        <f t="shared" si="0"/>
        <v>4398056250</v>
      </c>
      <c r="G12" s="88">
        <f t="shared" si="1"/>
        <v>18250</v>
      </c>
      <c r="H12" s="85"/>
      <c r="I12" s="85"/>
      <c r="J12" s="85"/>
      <c r="K12" s="85"/>
      <c r="L12" s="85"/>
    </row>
    <row r="13" spans="1:16" x14ac:dyDescent="0.3">
      <c r="A13" s="86">
        <f>IFERROR(OptionAnalysis!B18,"")*75</f>
        <v>16705800</v>
      </c>
      <c r="B13" s="87">
        <f>IFERROR(OptionAnalysis!H18,"")</f>
        <v>18300</v>
      </c>
      <c r="C13" s="86">
        <f>IFERROR(OptionAnalysis!N18,"")*75</f>
        <v>4653750</v>
      </c>
      <c r="D13" s="86">
        <f>IFERROR($B13*SUM(A$2:$A13)-SUMPRODUCT($B$2:B13,$A$2:A13),0)</f>
        <v>5809522500</v>
      </c>
      <c r="E13" s="86">
        <f>IFERROR(SUMPRODUCT($B13:B$14,$C13:C$14)-$B13*SUM($C13:C$14),0)</f>
        <v>49346250</v>
      </c>
      <c r="F13" s="86">
        <f t="shared" si="0"/>
        <v>5858868750</v>
      </c>
      <c r="G13" s="88">
        <f t="shared" si="1"/>
        <v>18300</v>
      </c>
      <c r="H13" s="85"/>
      <c r="I13" s="85"/>
      <c r="J13" s="85"/>
      <c r="K13" s="85"/>
      <c r="L13" s="85"/>
    </row>
    <row r="14" spans="1:16" x14ac:dyDescent="0.3">
      <c r="A14" s="86">
        <f>IFERROR(OptionAnalysis!B19,"")*75</f>
        <v>5009700</v>
      </c>
      <c r="B14" s="87">
        <f>IFERROR(OptionAnalysis!H19,"")</f>
        <v>18350</v>
      </c>
      <c r="C14" s="86">
        <f>IFERROR(OptionAnalysis!N19,"")*75</f>
        <v>986925</v>
      </c>
      <c r="D14" s="86">
        <f>IFERROR($B14*SUM(A$2:$A14)-SUMPRODUCT($B$2:B14,$A$2:A14),0)</f>
        <v>8387658750</v>
      </c>
      <c r="E14" s="86">
        <f>IFERROR(SUMPRODUCT($B14:B$14,$C14:C$14)-$B14*SUM($C14:C$14),0)</f>
        <v>0</v>
      </c>
      <c r="F14" s="86">
        <f t="shared" si="0"/>
        <v>8387658750</v>
      </c>
      <c r="G14" s="88">
        <f t="shared" si="1"/>
        <v>18350</v>
      </c>
      <c r="H14" s="85"/>
      <c r="I14" s="85"/>
      <c r="J14" s="85"/>
      <c r="K14" s="85"/>
      <c r="L14" s="85"/>
    </row>
    <row r="15" spans="1:16" x14ac:dyDescent="0.3">
      <c r="A15" s="86">
        <f>IFERROR(OptionAnalysis!B20,"")*75</f>
        <v>10579200</v>
      </c>
      <c r="B15" s="87">
        <f>IFERROR(OptionAnalysis!H20,"")</f>
        <v>18400</v>
      </c>
      <c r="C15" s="86">
        <f>IFERROR(OptionAnalysis!N20,"")*75</f>
        <v>1405050</v>
      </c>
      <c r="D15" s="86">
        <f>IFERROR($B15*SUM(A$2:$A15)-SUMPRODUCT($B$2:B15,$A$2:A15),0)</f>
        <v>11216280000</v>
      </c>
      <c r="E15" s="86">
        <f>IFERROR(SUMPRODUCT($B$14:B15,$C$14:C15)-$B15*SUM($C$14:C15),0)</f>
        <v>-49346250</v>
      </c>
      <c r="F15" s="86">
        <f t="shared" si="0"/>
        <v>11166933750</v>
      </c>
      <c r="G15" s="88">
        <f t="shared" si="1"/>
        <v>18400</v>
      </c>
      <c r="H15" s="85"/>
      <c r="I15" s="85"/>
      <c r="J15" s="85"/>
      <c r="K15" s="85"/>
      <c r="L15" s="85"/>
      <c r="N15" s="10" t="s">
        <v>33</v>
      </c>
    </row>
    <row r="16" spans="1:16" x14ac:dyDescent="0.3">
      <c r="A16" s="86">
        <f>IFERROR(OptionAnalysis!B21,"")*75</f>
        <v>6055650</v>
      </c>
      <c r="B16" s="87">
        <f>IFERROR(OptionAnalysis!H21,"")</f>
        <v>18450</v>
      </c>
      <c r="C16" s="86">
        <f>IFERROR(OptionAnalysis!N21,"")*75</f>
        <v>207600</v>
      </c>
      <c r="D16" s="86">
        <f>IFERROR($B16*SUM(A$2:$A16)-SUMPRODUCT($B$2:B16,$A$2:A16),0)</f>
        <v>14573861250</v>
      </c>
      <c r="E16" s="86">
        <f>IFERROR(SUMPRODUCT($B$14:B16,$C$14:C16)-$B16*SUM($C$14:C16),0)</f>
        <v>-168945000</v>
      </c>
      <c r="F16" s="86">
        <f t="shared" si="0"/>
        <v>14404916250</v>
      </c>
      <c r="G16" s="88">
        <f t="shared" si="1"/>
        <v>18450</v>
      </c>
      <c r="H16" s="85"/>
      <c r="I16" s="85"/>
      <c r="J16" s="85"/>
      <c r="K16" s="85"/>
      <c r="L16" s="85"/>
    </row>
    <row r="17" spans="1:14" x14ac:dyDescent="0.3">
      <c r="A17" s="86">
        <f>IFERROR(OptionAnalysis!B22,"")*75</f>
        <v>12024000</v>
      </c>
      <c r="B17" s="87">
        <f>IFERROR(OptionAnalysis!H22,"")</f>
        <v>18500</v>
      </c>
      <c r="C17" s="86">
        <f>IFERROR(OptionAnalysis!N22,"")*75</f>
        <v>403500</v>
      </c>
      <c r="D17" s="86">
        <f>IFERROR($B17*SUM(A$2:$A17)-SUMPRODUCT($B$2:B17,$A$2:A17),0)</f>
        <v>18234225000</v>
      </c>
      <c r="E17" s="86">
        <f>IFERROR(SUMPRODUCT($B$14:B17,$C$14:C17)-$B17*SUM($C$14:C17),0)</f>
        <v>-298923750</v>
      </c>
      <c r="F17" s="86">
        <f t="shared" si="0"/>
        <v>17935301250</v>
      </c>
      <c r="G17" s="88">
        <f t="shared" si="1"/>
        <v>18500</v>
      </c>
      <c r="H17" s="85"/>
      <c r="I17" s="85"/>
      <c r="J17" s="85"/>
      <c r="K17" s="85"/>
      <c r="L17" s="85"/>
      <c r="N17" s="10" t="s">
        <v>33</v>
      </c>
    </row>
    <row r="18" spans="1:14" ht="15" thickBot="1" x14ac:dyDescent="0.35">
      <c r="A18" s="85"/>
      <c r="B18" s="85"/>
      <c r="C18" s="85"/>
      <c r="D18" s="85"/>
      <c r="E18" s="85"/>
      <c r="F18" s="85"/>
      <c r="G18" s="85"/>
      <c r="H18" s="85"/>
      <c r="I18" s="85"/>
      <c r="J18" s="85"/>
      <c r="K18" s="85"/>
      <c r="L18" s="85"/>
    </row>
    <row r="19" spans="1:14" ht="18" thickBot="1" x14ac:dyDescent="0.35">
      <c r="A19" s="85"/>
      <c r="B19" s="85"/>
      <c r="C19" s="85"/>
      <c r="D19" s="85"/>
      <c r="E19" s="85"/>
      <c r="F19" s="89" t="s">
        <v>54</v>
      </c>
      <c r="G19" s="90">
        <f>VLOOKUP(MIN(F2:F14),F2:G14,2,FALSE)</f>
        <v>18200</v>
      </c>
      <c r="H19" s="85"/>
      <c r="I19" s="85"/>
      <c r="J19" s="85"/>
      <c r="K19" s="85"/>
      <c r="L19" s="85"/>
    </row>
    <row r="20" spans="1:14" x14ac:dyDescent="0.3">
      <c r="A20" s="85"/>
      <c r="B20" s="85"/>
      <c r="C20" s="85"/>
      <c r="D20" s="85"/>
      <c r="E20" s="85"/>
      <c r="F20" s="85"/>
      <c r="G20" s="85"/>
      <c r="H20" s="85"/>
      <c r="I20" s="85"/>
      <c r="J20" s="85"/>
      <c r="K20" s="85"/>
      <c r="L20" s="85"/>
    </row>
  </sheetData>
  <sheetProtection algorithmName="SHA-512" hashValue="/7l87rcb23A6Ji/d6fLzXzkkr4ANu2ZneQJQudfWKFErjMtCzXxUkOKdJOV/k/P+Q4xg0B13fFJTPLOSnnqnKg==" saltValue="ea4kSw8l7ze1v+OqQjFnUQ==" spinCount="100000" sheet="1" objects="1" scenarios="1"/>
  <mergeCells count="1">
    <mergeCell ref="M2:P2"/>
  </mergeCells>
  <conditionalFormatting sqref="F2:F17">
    <cfRule type="dataBar" priority="1">
      <dataBar>
        <cfvo type="min"/>
        <cfvo type="max"/>
        <color rgb="FFD6007B"/>
      </dataBar>
      <extLst>
        <ext xmlns:x14="http://schemas.microsoft.com/office/spreadsheetml/2009/9/main" uri="{B025F937-C7B1-47D3-B67F-A62EFF666E3E}">
          <x14:id>{C0BC1196-0462-4164-87D1-2DD5C834E0A4}</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BC1196-0462-4164-87D1-2DD5C834E0A4}">
            <x14:dataBar minLength="0" maxLength="100" border="1" negativeBarBorderColorSameAsPositive="0">
              <x14:cfvo type="autoMin"/>
              <x14:cfvo type="autoMax"/>
              <x14:borderColor rgb="FFD6007B"/>
              <x14:negativeFillColor rgb="FFFF0000"/>
              <x14:negativeBorderColor rgb="FFFF0000"/>
              <x14:axisColor rgb="FF000000"/>
            </x14:dataBar>
          </x14:cfRule>
          <xm:sqref>F2:F17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8733A-8065-47B1-841E-385F875EACBF}">
  <sheetPr codeName="Sheet9"/>
  <dimension ref="E3:L90"/>
  <sheetViews>
    <sheetView topLeftCell="A61" workbookViewId="0">
      <selection activeCell="F4" sqref="F4:L88"/>
    </sheetView>
  </sheetViews>
  <sheetFormatPr defaultRowHeight="14.4" x14ac:dyDescent="0.3"/>
  <sheetData>
    <row r="3" spans="5:12" x14ac:dyDescent="0.3">
      <c r="F3" s="40" t="str">
        <f t="shared" ref="F3:L3" si="0">F90</f>
        <v>Time</v>
      </c>
      <c r="G3" s="177">
        <f t="shared" si="0"/>
        <v>18300</v>
      </c>
      <c r="H3" s="177">
        <f t="shared" si="0"/>
        <v>18350</v>
      </c>
      <c r="I3" s="177">
        <f t="shared" si="0"/>
        <v>18400</v>
      </c>
      <c r="J3" s="177">
        <f t="shared" si="0"/>
        <v>18300</v>
      </c>
      <c r="K3" s="178">
        <f t="shared" si="0"/>
        <v>18350</v>
      </c>
      <c r="L3" s="178">
        <f t="shared" si="0"/>
        <v>18400</v>
      </c>
    </row>
    <row r="4" spans="5:12" x14ac:dyDescent="0.3">
      <c r="E4">
        <v>1</v>
      </c>
      <c r="F4" s="168"/>
      <c r="G4" s="168"/>
      <c r="H4" s="168"/>
      <c r="I4" s="168"/>
      <c r="J4" s="168"/>
      <c r="K4" s="168"/>
      <c r="L4" s="168"/>
    </row>
    <row r="5" spans="5:12" x14ac:dyDescent="0.3">
      <c r="E5">
        <v>2</v>
      </c>
      <c r="F5" s="168"/>
      <c r="G5" s="168"/>
      <c r="H5" s="168"/>
      <c r="I5" s="168"/>
      <c r="J5" s="168"/>
      <c r="K5" s="168"/>
      <c r="L5" s="168"/>
    </row>
    <row r="6" spans="5:12" x14ac:dyDescent="0.3">
      <c r="E6">
        <v>3</v>
      </c>
      <c r="F6" s="168"/>
      <c r="G6" s="168"/>
      <c r="H6" s="168"/>
      <c r="I6" s="168"/>
      <c r="J6" s="168"/>
      <c r="K6" s="168"/>
      <c r="L6" s="168"/>
    </row>
    <row r="7" spans="5:12" x14ac:dyDescent="0.3">
      <c r="E7">
        <v>4</v>
      </c>
      <c r="F7" s="168"/>
      <c r="G7" s="168"/>
      <c r="H7" s="168"/>
      <c r="I7" s="168"/>
      <c r="J7" s="168"/>
      <c r="K7" s="168"/>
      <c r="L7" s="168"/>
    </row>
    <row r="8" spans="5:12" x14ac:dyDescent="0.3">
      <c r="E8">
        <v>5</v>
      </c>
      <c r="F8" s="168"/>
      <c r="G8" s="168"/>
      <c r="H8" s="168"/>
      <c r="I8" s="168"/>
      <c r="J8" s="168"/>
      <c r="K8" s="168"/>
      <c r="L8" s="168"/>
    </row>
    <row r="9" spans="5:12" x14ac:dyDescent="0.3">
      <c r="E9">
        <v>6</v>
      </c>
      <c r="F9" s="168"/>
      <c r="G9" s="168"/>
      <c r="H9" s="168"/>
      <c r="I9" s="168"/>
      <c r="J9" s="168"/>
      <c r="K9" s="168"/>
      <c r="L9" s="168"/>
    </row>
    <row r="10" spans="5:12" x14ac:dyDescent="0.3">
      <c r="E10">
        <v>7</v>
      </c>
      <c r="F10" s="168"/>
      <c r="G10" s="168"/>
      <c r="H10" s="168"/>
      <c r="I10" s="168"/>
      <c r="J10" s="168"/>
      <c r="K10" s="168"/>
      <c r="L10" s="168"/>
    </row>
    <row r="11" spans="5:12" x14ac:dyDescent="0.3">
      <c r="E11">
        <v>8</v>
      </c>
      <c r="F11" s="168"/>
      <c r="G11" s="168"/>
      <c r="H11" s="168"/>
      <c r="I11" s="168"/>
      <c r="J11" s="168"/>
      <c r="K11" s="168"/>
      <c r="L11" s="168"/>
    </row>
    <row r="12" spans="5:12" x14ac:dyDescent="0.3">
      <c r="E12">
        <v>9</v>
      </c>
      <c r="F12" s="168"/>
      <c r="G12" s="168"/>
      <c r="H12" s="168"/>
      <c r="I12" s="168"/>
      <c r="J12" s="168"/>
      <c r="K12" s="168"/>
      <c r="L12" s="168"/>
    </row>
    <row r="13" spans="5:12" x14ac:dyDescent="0.3">
      <c r="E13">
        <v>10</v>
      </c>
      <c r="F13" s="168"/>
      <c r="G13" s="168"/>
      <c r="H13" s="168"/>
      <c r="I13" s="168"/>
      <c r="J13" s="168"/>
      <c r="K13" s="168"/>
      <c r="L13" s="168"/>
    </row>
    <row r="14" spans="5:12" x14ac:dyDescent="0.3">
      <c r="E14">
        <v>11</v>
      </c>
      <c r="F14" s="168"/>
      <c r="G14" s="168"/>
      <c r="H14" s="168"/>
      <c r="I14" s="168"/>
      <c r="J14" s="168"/>
      <c r="K14" s="168"/>
      <c r="L14" s="168"/>
    </row>
    <row r="15" spans="5:12" x14ac:dyDescent="0.3">
      <c r="E15">
        <v>12</v>
      </c>
      <c r="F15" s="168"/>
      <c r="G15" s="168"/>
      <c r="H15" s="168"/>
      <c r="I15" s="168"/>
      <c r="J15" s="168"/>
      <c r="K15" s="168"/>
      <c r="L15" s="168"/>
    </row>
    <row r="16" spans="5:12" x14ac:dyDescent="0.3">
      <c r="E16">
        <v>13</v>
      </c>
      <c r="F16" s="168"/>
      <c r="G16" s="168"/>
      <c r="H16" s="168"/>
      <c r="I16" s="168"/>
      <c r="J16" s="168"/>
      <c r="K16" s="168"/>
      <c r="L16" s="168"/>
    </row>
    <row r="17" spans="5:12" x14ac:dyDescent="0.3">
      <c r="E17">
        <v>14</v>
      </c>
      <c r="F17" s="168"/>
      <c r="G17" s="168"/>
      <c r="H17" s="168"/>
      <c r="I17" s="168"/>
      <c r="J17" s="168"/>
      <c r="K17" s="168"/>
      <c r="L17" s="168"/>
    </row>
    <row r="18" spans="5:12" x14ac:dyDescent="0.3">
      <c r="E18">
        <v>15</v>
      </c>
      <c r="F18" s="168"/>
      <c r="G18" s="168"/>
      <c r="H18" s="168"/>
      <c r="I18" s="168"/>
      <c r="J18" s="168"/>
      <c r="K18" s="168"/>
      <c r="L18" s="168"/>
    </row>
    <row r="19" spans="5:12" x14ac:dyDescent="0.3">
      <c r="E19">
        <v>16</v>
      </c>
      <c r="F19" s="168"/>
      <c r="G19" s="168"/>
      <c r="H19" s="168"/>
      <c r="I19" s="168"/>
      <c r="J19" s="168"/>
      <c r="K19" s="168"/>
      <c r="L19" s="168"/>
    </row>
    <row r="20" spans="5:12" x14ac:dyDescent="0.3">
      <c r="E20">
        <v>17</v>
      </c>
      <c r="F20" s="168"/>
      <c r="G20" s="168"/>
      <c r="H20" s="168"/>
      <c r="I20" s="168"/>
      <c r="J20" s="168"/>
      <c r="K20" s="168"/>
      <c r="L20" s="168"/>
    </row>
    <row r="21" spans="5:12" x14ac:dyDescent="0.3">
      <c r="E21">
        <v>18</v>
      </c>
      <c r="F21" s="168"/>
      <c r="G21" s="168"/>
      <c r="H21" s="168"/>
      <c r="I21" s="168"/>
      <c r="J21" s="168"/>
      <c r="K21" s="168"/>
      <c r="L21" s="168"/>
    </row>
    <row r="22" spans="5:12" x14ac:dyDescent="0.3">
      <c r="E22">
        <v>19</v>
      </c>
      <c r="F22" s="168"/>
      <c r="G22" s="168"/>
      <c r="H22" s="168"/>
      <c r="I22" s="168"/>
      <c r="J22" s="168"/>
      <c r="K22" s="168"/>
      <c r="L22" s="168"/>
    </row>
    <row r="23" spans="5:12" x14ac:dyDescent="0.3">
      <c r="E23">
        <v>20</v>
      </c>
      <c r="F23" s="168"/>
      <c r="G23" s="168"/>
      <c r="H23" s="168"/>
      <c r="I23" s="168"/>
      <c r="J23" s="168"/>
      <c r="K23" s="168"/>
      <c r="L23" s="168"/>
    </row>
    <row r="24" spans="5:12" x14ac:dyDescent="0.3">
      <c r="E24">
        <v>21</v>
      </c>
      <c r="F24" s="168"/>
      <c r="G24" s="168"/>
      <c r="H24" s="168"/>
      <c r="I24" s="168"/>
      <c r="J24" s="168"/>
      <c r="K24" s="168"/>
      <c r="L24" s="168"/>
    </row>
    <row r="25" spans="5:12" x14ac:dyDescent="0.3">
      <c r="E25">
        <v>22</v>
      </c>
      <c r="F25" s="168"/>
      <c r="G25" s="168"/>
      <c r="H25" s="168"/>
      <c r="I25" s="168"/>
      <c r="J25" s="168"/>
      <c r="K25" s="168"/>
      <c r="L25" s="168"/>
    </row>
    <row r="26" spans="5:12" x14ac:dyDescent="0.3">
      <c r="E26">
        <v>23</v>
      </c>
      <c r="F26" s="168"/>
      <c r="G26" s="168"/>
      <c r="H26" s="168"/>
      <c r="I26" s="168"/>
      <c r="J26" s="168"/>
      <c r="K26" s="168"/>
      <c r="L26" s="168"/>
    </row>
    <row r="27" spans="5:12" x14ac:dyDescent="0.3">
      <c r="E27">
        <v>24</v>
      </c>
      <c r="F27" s="168"/>
      <c r="G27" s="168"/>
      <c r="H27" s="168"/>
      <c r="I27" s="168"/>
      <c r="J27" s="168"/>
      <c r="K27" s="168"/>
      <c r="L27" s="168"/>
    </row>
    <row r="28" spans="5:12" x14ac:dyDescent="0.3">
      <c r="E28">
        <v>25</v>
      </c>
      <c r="F28" s="168"/>
      <c r="G28" s="168"/>
      <c r="H28" s="168"/>
      <c r="I28" s="168"/>
      <c r="J28" s="168"/>
      <c r="K28" s="168"/>
      <c r="L28" s="168"/>
    </row>
    <row r="29" spans="5:12" x14ac:dyDescent="0.3">
      <c r="E29">
        <v>26</v>
      </c>
      <c r="F29" s="168"/>
      <c r="G29" s="168"/>
      <c r="H29" s="168"/>
      <c r="I29" s="168"/>
      <c r="J29" s="168"/>
      <c r="K29" s="168"/>
      <c r="L29" s="168"/>
    </row>
    <row r="30" spans="5:12" x14ac:dyDescent="0.3">
      <c r="E30">
        <v>27</v>
      </c>
      <c r="F30" s="168"/>
      <c r="G30" s="168"/>
      <c r="H30" s="168"/>
      <c r="I30" s="168"/>
      <c r="J30" s="168"/>
      <c r="K30" s="168"/>
      <c r="L30" s="168"/>
    </row>
    <row r="31" spans="5:12" x14ac:dyDescent="0.3">
      <c r="E31">
        <v>28</v>
      </c>
      <c r="F31" s="168"/>
      <c r="G31" s="168"/>
      <c r="H31" s="168"/>
      <c r="I31" s="168"/>
      <c r="J31" s="168"/>
      <c r="K31" s="168"/>
      <c r="L31" s="168"/>
    </row>
    <row r="32" spans="5:12" x14ac:dyDescent="0.3">
      <c r="E32">
        <v>29</v>
      </c>
      <c r="F32" s="168"/>
      <c r="G32" s="168"/>
      <c r="H32" s="168"/>
      <c r="I32" s="168"/>
      <c r="J32" s="168"/>
      <c r="K32" s="168"/>
      <c r="L32" s="168"/>
    </row>
    <row r="33" spans="5:12" x14ac:dyDescent="0.3">
      <c r="E33">
        <v>30</v>
      </c>
      <c r="F33" s="168"/>
      <c r="G33" s="168"/>
      <c r="H33" s="168"/>
      <c r="I33" s="168"/>
      <c r="J33" s="168"/>
      <c r="K33" s="168"/>
      <c r="L33" s="168"/>
    </row>
    <row r="34" spans="5:12" x14ac:dyDescent="0.3">
      <c r="E34">
        <v>31</v>
      </c>
      <c r="F34" s="168"/>
      <c r="G34" s="168"/>
      <c r="H34" s="168"/>
      <c r="I34" s="168"/>
      <c r="J34" s="168"/>
      <c r="K34" s="168"/>
      <c r="L34" s="168"/>
    </row>
    <row r="35" spans="5:12" x14ac:dyDescent="0.3">
      <c r="E35">
        <v>32</v>
      </c>
      <c r="F35" s="168"/>
      <c r="G35" s="168"/>
      <c r="H35" s="168"/>
      <c r="I35" s="168"/>
      <c r="J35" s="168"/>
      <c r="K35" s="168"/>
      <c r="L35" s="168"/>
    </row>
    <row r="36" spans="5:12" x14ac:dyDescent="0.3">
      <c r="E36">
        <v>33</v>
      </c>
      <c r="F36" s="168"/>
      <c r="G36" s="168"/>
      <c r="H36" s="168"/>
      <c r="I36" s="168"/>
      <c r="J36" s="168"/>
      <c r="K36" s="168"/>
      <c r="L36" s="168"/>
    </row>
    <row r="37" spans="5:12" x14ac:dyDescent="0.3">
      <c r="E37">
        <v>34</v>
      </c>
      <c r="F37" s="168"/>
      <c r="G37" s="168"/>
      <c r="H37" s="168"/>
      <c r="I37" s="168"/>
      <c r="J37" s="168"/>
      <c r="K37" s="168"/>
      <c r="L37" s="168"/>
    </row>
    <row r="38" spans="5:12" x14ac:dyDescent="0.3">
      <c r="E38">
        <v>35</v>
      </c>
      <c r="F38" s="168"/>
      <c r="G38" s="168"/>
      <c r="H38" s="168"/>
      <c r="I38" s="168"/>
      <c r="J38" s="168"/>
      <c r="K38" s="168"/>
      <c r="L38" s="168"/>
    </row>
    <row r="39" spans="5:12" x14ac:dyDescent="0.3">
      <c r="E39">
        <v>36</v>
      </c>
      <c r="F39" s="168"/>
      <c r="G39" s="168"/>
      <c r="H39" s="168"/>
      <c r="I39" s="168"/>
      <c r="J39" s="168"/>
      <c r="K39" s="168"/>
      <c r="L39" s="168"/>
    </row>
    <row r="40" spans="5:12" x14ac:dyDescent="0.3">
      <c r="E40">
        <v>37</v>
      </c>
      <c r="F40" s="168"/>
      <c r="G40" s="168"/>
      <c r="H40" s="168"/>
      <c r="I40" s="168"/>
      <c r="J40" s="168"/>
      <c r="K40" s="168"/>
      <c r="L40" s="168"/>
    </row>
    <row r="41" spans="5:12" x14ac:dyDescent="0.3">
      <c r="E41">
        <v>38</v>
      </c>
      <c r="F41" s="168"/>
      <c r="G41" s="168"/>
      <c r="H41" s="168"/>
      <c r="I41" s="168"/>
      <c r="J41" s="168"/>
      <c r="K41" s="168"/>
      <c r="L41" s="168"/>
    </row>
    <row r="42" spans="5:12" x14ac:dyDescent="0.3">
      <c r="E42">
        <v>39</v>
      </c>
      <c r="F42" s="168"/>
      <c r="G42" s="168"/>
      <c r="H42" s="168"/>
      <c r="I42" s="168"/>
      <c r="J42" s="168"/>
      <c r="K42" s="168"/>
      <c r="L42" s="168"/>
    </row>
    <row r="43" spans="5:12" x14ac:dyDescent="0.3">
      <c r="E43">
        <v>40</v>
      </c>
      <c r="F43" s="168"/>
      <c r="G43" s="168"/>
      <c r="H43" s="168"/>
      <c r="I43" s="168"/>
      <c r="J43" s="168"/>
      <c r="K43" s="168"/>
      <c r="L43" s="168"/>
    </row>
    <row r="44" spans="5:12" x14ac:dyDescent="0.3">
      <c r="E44">
        <v>41</v>
      </c>
      <c r="F44" s="168"/>
      <c r="G44" s="168"/>
      <c r="H44" s="168"/>
      <c r="I44" s="168"/>
      <c r="J44" s="168"/>
      <c r="K44" s="168"/>
      <c r="L44" s="168"/>
    </row>
    <row r="45" spans="5:12" x14ac:dyDescent="0.3">
      <c r="E45">
        <v>42</v>
      </c>
      <c r="F45" s="168"/>
      <c r="G45" s="168"/>
      <c r="H45" s="168"/>
      <c r="I45" s="168"/>
      <c r="J45" s="168"/>
      <c r="K45" s="168"/>
      <c r="L45" s="168"/>
    </row>
    <row r="46" spans="5:12" x14ac:dyDescent="0.3">
      <c r="E46">
        <v>43</v>
      </c>
      <c r="F46" s="168"/>
      <c r="G46" s="168"/>
      <c r="H46" s="168"/>
      <c r="I46" s="168"/>
      <c r="J46" s="168"/>
      <c r="K46" s="168"/>
      <c r="L46" s="168"/>
    </row>
    <row r="47" spans="5:12" x14ac:dyDescent="0.3">
      <c r="E47">
        <v>44</v>
      </c>
      <c r="F47" s="168"/>
      <c r="G47" s="168"/>
      <c r="H47" s="168"/>
      <c r="I47" s="168"/>
      <c r="J47" s="168"/>
      <c r="K47" s="168"/>
      <c r="L47" s="168"/>
    </row>
    <row r="48" spans="5:12" x14ac:dyDescent="0.3">
      <c r="E48">
        <v>45</v>
      </c>
      <c r="F48" s="168"/>
      <c r="G48" s="168"/>
      <c r="H48" s="168"/>
      <c r="I48" s="168"/>
      <c r="J48" s="168"/>
      <c r="K48" s="168"/>
      <c r="L48" s="168"/>
    </row>
    <row r="49" spans="5:12" x14ac:dyDescent="0.3">
      <c r="E49">
        <v>46</v>
      </c>
      <c r="F49" s="168"/>
      <c r="G49" s="168"/>
      <c r="H49" s="168"/>
      <c r="I49" s="168"/>
      <c r="J49" s="168"/>
      <c r="K49" s="168"/>
      <c r="L49" s="168"/>
    </row>
    <row r="50" spans="5:12" x14ac:dyDescent="0.3">
      <c r="E50">
        <v>47</v>
      </c>
      <c r="F50" s="168"/>
      <c r="G50" s="168"/>
      <c r="H50" s="168"/>
      <c r="I50" s="168"/>
      <c r="J50" s="168"/>
      <c r="K50" s="168"/>
      <c r="L50" s="168"/>
    </row>
    <row r="51" spans="5:12" x14ac:dyDescent="0.3">
      <c r="E51">
        <v>48</v>
      </c>
      <c r="F51" s="168"/>
      <c r="G51" s="168"/>
      <c r="H51" s="168"/>
      <c r="I51" s="168"/>
      <c r="J51" s="168"/>
      <c r="K51" s="168"/>
      <c r="L51" s="168"/>
    </row>
    <row r="52" spans="5:12" x14ac:dyDescent="0.3">
      <c r="E52">
        <v>49</v>
      </c>
      <c r="F52" s="168"/>
      <c r="G52" s="168"/>
      <c r="H52" s="168"/>
      <c r="I52" s="168"/>
      <c r="J52" s="168"/>
      <c r="K52" s="168"/>
      <c r="L52" s="168"/>
    </row>
    <row r="53" spans="5:12" x14ac:dyDescent="0.3">
      <c r="E53">
        <v>50</v>
      </c>
      <c r="F53" s="168"/>
      <c r="G53" s="168"/>
      <c r="H53" s="168"/>
      <c r="I53" s="168"/>
      <c r="J53" s="168"/>
      <c r="K53" s="168"/>
      <c r="L53" s="168"/>
    </row>
    <row r="54" spans="5:12" x14ac:dyDescent="0.3">
      <c r="E54">
        <v>51</v>
      </c>
      <c r="F54" s="168"/>
      <c r="G54" s="168"/>
      <c r="H54" s="168"/>
      <c r="I54" s="168"/>
      <c r="J54" s="168"/>
      <c r="K54" s="168"/>
      <c r="L54" s="168"/>
    </row>
    <row r="55" spans="5:12" x14ac:dyDescent="0.3">
      <c r="E55">
        <v>52</v>
      </c>
      <c r="F55" s="168"/>
      <c r="G55" s="168"/>
      <c r="H55" s="168"/>
      <c r="I55" s="168"/>
      <c r="J55" s="168"/>
      <c r="K55" s="168"/>
      <c r="L55" s="168"/>
    </row>
    <row r="56" spans="5:12" x14ac:dyDescent="0.3">
      <c r="E56">
        <v>53</v>
      </c>
      <c r="F56" s="168"/>
      <c r="G56" s="168"/>
      <c r="H56" s="168"/>
      <c r="I56" s="168"/>
      <c r="J56" s="168"/>
      <c r="K56" s="168"/>
      <c r="L56" s="168"/>
    </row>
    <row r="57" spans="5:12" x14ac:dyDescent="0.3">
      <c r="E57">
        <v>54</v>
      </c>
      <c r="F57" s="168"/>
      <c r="G57" s="168"/>
      <c r="H57" s="168"/>
      <c r="I57" s="168"/>
      <c r="J57" s="168"/>
      <c r="K57" s="168"/>
      <c r="L57" s="168"/>
    </row>
    <row r="58" spans="5:12" x14ac:dyDescent="0.3">
      <c r="E58">
        <v>55</v>
      </c>
      <c r="F58" s="168"/>
      <c r="G58" s="168"/>
      <c r="H58" s="168"/>
      <c r="I58" s="168"/>
      <c r="J58" s="168"/>
      <c r="K58" s="168"/>
      <c r="L58" s="168"/>
    </row>
    <row r="59" spans="5:12" x14ac:dyDescent="0.3">
      <c r="E59">
        <v>56</v>
      </c>
      <c r="F59" s="168"/>
      <c r="G59" s="168"/>
      <c r="H59" s="168"/>
      <c r="I59" s="168"/>
      <c r="J59" s="168"/>
      <c r="K59" s="168"/>
      <c r="L59" s="168"/>
    </row>
    <row r="60" spans="5:12" x14ac:dyDescent="0.3">
      <c r="E60">
        <v>57</v>
      </c>
      <c r="F60" s="168"/>
      <c r="G60" s="168"/>
      <c r="H60" s="168"/>
      <c r="I60" s="168"/>
      <c r="J60" s="168"/>
      <c r="K60" s="168"/>
      <c r="L60" s="168"/>
    </row>
    <row r="61" spans="5:12" x14ac:dyDescent="0.3">
      <c r="E61">
        <v>58</v>
      </c>
      <c r="F61" s="168"/>
      <c r="G61" s="168"/>
      <c r="H61" s="168"/>
      <c r="I61" s="168"/>
      <c r="J61" s="168"/>
      <c r="K61" s="168"/>
      <c r="L61" s="168"/>
    </row>
    <row r="62" spans="5:12" x14ac:dyDescent="0.3">
      <c r="E62">
        <v>59</v>
      </c>
      <c r="F62" s="168"/>
      <c r="G62" s="168"/>
      <c r="H62" s="168"/>
      <c r="I62" s="168"/>
      <c r="J62" s="168"/>
      <c r="K62" s="168"/>
      <c r="L62" s="168"/>
    </row>
    <row r="63" spans="5:12" x14ac:dyDescent="0.3">
      <c r="E63">
        <v>60</v>
      </c>
      <c r="F63" s="168"/>
      <c r="G63" s="168"/>
      <c r="H63" s="168"/>
      <c r="I63" s="168"/>
      <c r="J63" s="168"/>
      <c r="K63" s="168"/>
      <c r="L63" s="168"/>
    </row>
    <row r="64" spans="5:12" x14ac:dyDescent="0.3">
      <c r="E64">
        <v>61</v>
      </c>
      <c r="F64" s="168"/>
      <c r="G64" s="168"/>
      <c r="H64" s="168"/>
      <c r="I64" s="168"/>
      <c r="J64" s="168"/>
      <c r="K64" s="168"/>
      <c r="L64" s="168"/>
    </row>
    <row r="65" spans="5:12" x14ac:dyDescent="0.3">
      <c r="E65">
        <v>62</v>
      </c>
      <c r="F65" s="168"/>
      <c r="G65" s="168"/>
      <c r="H65" s="168"/>
      <c r="I65" s="168"/>
      <c r="J65" s="168"/>
      <c r="K65" s="168"/>
      <c r="L65" s="168"/>
    </row>
    <row r="66" spans="5:12" x14ac:dyDescent="0.3">
      <c r="E66">
        <v>63</v>
      </c>
      <c r="F66" s="168"/>
      <c r="G66" s="168"/>
      <c r="H66" s="168"/>
      <c r="I66" s="168"/>
      <c r="J66" s="168"/>
      <c r="K66" s="168"/>
      <c r="L66" s="168"/>
    </row>
    <row r="67" spans="5:12" x14ac:dyDescent="0.3">
      <c r="E67">
        <v>64</v>
      </c>
      <c r="F67" s="168"/>
      <c r="G67" s="168"/>
      <c r="H67" s="168"/>
      <c r="I67" s="168"/>
      <c r="J67" s="168"/>
      <c r="K67" s="168"/>
      <c r="L67" s="168"/>
    </row>
    <row r="68" spans="5:12" x14ac:dyDescent="0.3">
      <c r="E68">
        <v>65</v>
      </c>
      <c r="F68" s="168"/>
      <c r="G68" s="168"/>
      <c r="H68" s="168"/>
      <c r="I68" s="168"/>
      <c r="J68" s="168"/>
      <c r="K68" s="168"/>
      <c r="L68" s="168"/>
    </row>
    <row r="69" spans="5:12" x14ac:dyDescent="0.3">
      <c r="E69">
        <v>66</v>
      </c>
      <c r="F69" s="168"/>
      <c r="G69" s="168"/>
      <c r="H69" s="168"/>
      <c r="I69" s="168"/>
      <c r="J69" s="168"/>
      <c r="K69" s="168"/>
      <c r="L69" s="168"/>
    </row>
    <row r="70" spans="5:12" x14ac:dyDescent="0.3">
      <c r="E70">
        <v>67</v>
      </c>
      <c r="F70" s="168"/>
      <c r="G70" s="168"/>
      <c r="H70" s="168"/>
      <c r="I70" s="168"/>
      <c r="J70" s="168"/>
      <c r="K70" s="168"/>
      <c r="L70" s="168"/>
    </row>
    <row r="71" spans="5:12" x14ac:dyDescent="0.3">
      <c r="E71">
        <v>68</v>
      </c>
      <c r="F71" s="168"/>
      <c r="G71" s="168"/>
      <c r="H71" s="168"/>
      <c r="I71" s="168"/>
      <c r="J71" s="168"/>
      <c r="K71" s="168"/>
      <c r="L71" s="168"/>
    </row>
    <row r="72" spans="5:12" x14ac:dyDescent="0.3">
      <c r="E72">
        <v>69</v>
      </c>
      <c r="F72" s="168"/>
      <c r="G72" s="168"/>
      <c r="H72" s="168"/>
      <c r="I72" s="168"/>
      <c r="J72" s="168"/>
      <c r="K72" s="168"/>
      <c r="L72" s="168"/>
    </row>
    <row r="73" spans="5:12" x14ac:dyDescent="0.3">
      <c r="E73">
        <v>70</v>
      </c>
      <c r="F73" s="168"/>
      <c r="G73" s="168"/>
      <c r="H73" s="168"/>
      <c r="I73" s="168"/>
      <c r="J73" s="168"/>
      <c r="K73" s="168"/>
      <c r="L73" s="168"/>
    </row>
    <row r="74" spans="5:12" x14ac:dyDescent="0.3">
      <c r="E74">
        <v>71</v>
      </c>
      <c r="F74" s="168"/>
      <c r="G74" s="168"/>
      <c r="H74" s="168"/>
      <c r="I74" s="168"/>
      <c r="J74" s="168"/>
      <c r="K74" s="168"/>
      <c r="L74" s="168"/>
    </row>
    <row r="75" spans="5:12" x14ac:dyDescent="0.3">
      <c r="E75">
        <v>72</v>
      </c>
      <c r="F75" s="168"/>
      <c r="G75" s="168"/>
      <c r="H75" s="168"/>
      <c r="I75" s="168"/>
      <c r="J75" s="168"/>
      <c r="K75" s="168"/>
      <c r="L75" s="168"/>
    </row>
    <row r="76" spans="5:12" x14ac:dyDescent="0.3">
      <c r="E76">
        <v>73</v>
      </c>
      <c r="F76" s="168"/>
      <c r="G76" s="168"/>
      <c r="H76" s="168"/>
      <c r="I76" s="168"/>
      <c r="J76" s="168"/>
      <c r="K76" s="168"/>
      <c r="L76" s="168"/>
    </row>
    <row r="77" spans="5:12" x14ac:dyDescent="0.3">
      <c r="E77">
        <v>74</v>
      </c>
      <c r="F77" s="168"/>
      <c r="G77" s="168"/>
      <c r="H77" s="168"/>
      <c r="I77" s="168"/>
      <c r="J77" s="168"/>
      <c r="K77" s="168"/>
      <c r="L77" s="168"/>
    </row>
    <row r="78" spans="5:12" x14ac:dyDescent="0.3">
      <c r="E78">
        <v>75</v>
      </c>
      <c r="F78" s="168"/>
      <c r="G78" s="168"/>
      <c r="H78" s="168"/>
      <c r="I78" s="168"/>
      <c r="J78" s="168"/>
      <c r="K78" s="168"/>
      <c r="L78" s="168"/>
    </row>
    <row r="79" spans="5:12" x14ac:dyDescent="0.3">
      <c r="E79">
        <v>76</v>
      </c>
      <c r="F79" s="168"/>
      <c r="G79" s="168"/>
      <c r="H79" s="168"/>
      <c r="I79" s="168"/>
      <c r="J79" s="168"/>
      <c r="K79" s="168"/>
      <c r="L79" s="168"/>
    </row>
    <row r="80" spans="5:12" x14ac:dyDescent="0.3">
      <c r="E80">
        <v>77</v>
      </c>
      <c r="F80" s="168"/>
      <c r="G80" s="168"/>
      <c r="H80" s="168"/>
      <c r="I80" s="168"/>
      <c r="J80" s="168"/>
      <c r="K80" s="168"/>
      <c r="L80" s="168"/>
    </row>
    <row r="81" spans="5:12" x14ac:dyDescent="0.3">
      <c r="E81">
        <v>78</v>
      </c>
      <c r="F81" s="168"/>
      <c r="G81" s="168"/>
      <c r="H81" s="168"/>
      <c r="I81" s="168"/>
      <c r="J81" s="168"/>
      <c r="K81" s="168"/>
      <c r="L81" s="168"/>
    </row>
    <row r="82" spans="5:12" x14ac:dyDescent="0.3">
      <c r="E82">
        <v>79</v>
      </c>
      <c r="F82" s="168"/>
      <c r="G82" s="168"/>
      <c r="H82" s="168"/>
      <c r="I82" s="168"/>
      <c r="J82" s="168"/>
      <c r="K82" s="168"/>
      <c r="L82" s="168"/>
    </row>
    <row r="83" spans="5:12" x14ac:dyDescent="0.3">
      <c r="E83">
        <v>80</v>
      </c>
      <c r="F83" s="168"/>
      <c r="G83" s="168"/>
      <c r="H83" s="168"/>
      <c r="I83" s="168"/>
      <c r="J83" s="168"/>
      <c r="K83" s="168"/>
      <c r="L83" s="168"/>
    </row>
    <row r="84" spans="5:12" x14ac:dyDescent="0.3">
      <c r="E84">
        <v>81</v>
      </c>
      <c r="F84" s="168"/>
      <c r="G84" s="168"/>
      <c r="H84" s="168"/>
      <c r="I84" s="168"/>
      <c r="J84" s="168"/>
      <c r="K84" s="168"/>
      <c r="L84" s="168"/>
    </row>
    <row r="85" spans="5:12" x14ac:dyDescent="0.3">
      <c r="E85">
        <v>82</v>
      </c>
      <c r="F85" s="168"/>
      <c r="G85" s="168"/>
      <c r="H85" s="168"/>
      <c r="I85" s="168"/>
      <c r="J85" s="168"/>
      <c r="K85" s="168"/>
      <c r="L85" s="168"/>
    </row>
    <row r="86" spans="5:12" x14ac:dyDescent="0.3">
      <c r="E86">
        <v>83</v>
      </c>
      <c r="F86" s="168"/>
      <c r="G86" s="168"/>
      <c r="H86" s="168"/>
      <c r="I86" s="168"/>
      <c r="J86" s="168"/>
      <c r="K86" s="168"/>
      <c r="L86" s="168"/>
    </row>
    <row r="87" spans="5:12" x14ac:dyDescent="0.3">
      <c r="E87">
        <v>84</v>
      </c>
      <c r="F87" s="168"/>
      <c r="G87" s="168"/>
      <c r="H87" s="168"/>
      <c r="I87" s="168"/>
      <c r="J87" s="168"/>
      <c r="K87" s="168"/>
      <c r="L87" s="168"/>
    </row>
    <row r="88" spans="5:12" x14ac:dyDescent="0.3">
      <c r="E88">
        <v>85</v>
      </c>
      <c r="F88" s="169"/>
      <c r="G88" s="169"/>
      <c r="H88" s="169"/>
      <c r="I88" s="169"/>
      <c r="J88" s="169"/>
      <c r="K88" s="169"/>
      <c r="L88" s="169"/>
    </row>
    <row r="89" spans="5:12" hidden="1" x14ac:dyDescent="0.3">
      <c r="F89" s="170" t="str">
        <f>MID(Time[Value],12,6)</f>
        <v xml:space="preserve"> 09:59</v>
      </c>
      <c r="G89" s="171">
        <f>SUMIF(OptionAnalysis!$H$6:$H$26,'Autochange OI'!G90,OptionAnalysis!$C$6:$C$26)</f>
        <v>108256</v>
      </c>
      <c r="H89" s="171">
        <f>SUMIF(OptionAnalysis!$H$6:$H$26,'Autochange OI'!H90,OptionAnalysis!$C$6:$C$26)</f>
        <v>28681</v>
      </c>
      <c r="I89" s="171">
        <f>SUMIF(OptionAnalysis!$H$6:$H$26,'Autochange OI'!I90,OptionAnalysis!$C$6:$C$26)</f>
        <v>25452</v>
      </c>
      <c r="J89" s="171">
        <f>SUMIF(OptionAnalysis!$H$6:$H$26,'Autochange OI'!J90,OptionAnalysis!$M$6:$M$26)</f>
        <v>46861</v>
      </c>
      <c r="K89" s="171">
        <f>SUMIF(OptionAnalysis!$H$6:$H$26,'Autochange OI'!K90,OptionAnalysis!$M$6:$M$26)</f>
        <v>11054</v>
      </c>
      <c r="L89" s="172">
        <f>SUMIF(OptionAnalysis!$H$6:$H$26,'Autochange OI'!L90,OptionAnalysis!$M$6:$M$26)</f>
        <v>13935</v>
      </c>
    </row>
    <row r="90" spans="5:12" x14ac:dyDescent="0.3">
      <c r="F90" s="168" t="s">
        <v>45</v>
      </c>
      <c r="G90" s="173">
        <f>Dashboard!C19</f>
        <v>18300</v>
      </c>
      <c r="H90" s="173">
        <f>Dashboard!C20</f>
        <v>18350</v>
      </c>
      <c r="I90" s="173">
        <f>Dashboard!C21</f>
        <v>18400</v>
      </c>
      <c r="J90" s="174">
        <f>G90</f>
        <v>18300</v>
      </c>
      <c r="K90" s="174">
        <f>H90</f>
        <v>18350</v>
      </c>
      <c r="L90" s="174">
        <f>I90</f>
        <v>18400</v>
      </c>
    </row>
  </sheetData>
  <pageMargins left="0.7" right="0.7" top="0.75" bottom="0.75" header="0.3" footer="0.3"/>
  <ignoredErrors>
    <ignoredError sqref="F3 G3:L3"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40FE7-DEE6-41AE-BABF-B05BB59F8A22}">
  <sheetPr codeName="Sheet8"/>
  <dimension ref="B3:O20"/>
  <sheetViews>
    <sheetView workbookViewId="0">
      <selection activeCell="C7" sqref="C7"/>
    </sheetView>
  </sheetViews>
  <sheetFormatPr defaultRowHeight="14.4" x14ac:dyDescent="0.3"/>
  <cols>
    <col min="2" max="2" width="9.44140625" customWidth="1"/>
    <col min="5" max="5" width="80.88671875" bestFit="1" customWidth="1"/>
  </cols>
  <sheetData>
    <row r="3" spans="2:15" x14ac:dyDescent="0.3">
      <c r="B3" t="s">
        <v>73</v>
      </c>
    </row>
    <row r="4" spans="2:15" x14ac:dyDescent="0.3">
      <c r="B4" s="163" t="s">
        <v>112</v>
      </c>
    </row>
    <row r="9" spans="2:15" x14ac:dyDescent="0.3">
      <c r="B9" s="222"/>
    </row>
    <row r="11" spans="2:15" x14ac:dyDescent="0.3">
      <c r="E11" s="164"/>
    </row>
    <row r="12" spans="2:15" x14ac:dyDescent="0.3">
      <c r="O12" s="1"/>
    </row>
    <row r="13" spans="2:15" x14ac:dyDescent="0.3">
      <c r="B13" t="s">
        <v>112</v>
      </c>
    </row>
    <row r="17" spans="2:2" x14ac:dyDescent="0.3">
      <c r="B17" t="s">
        <v>109</v>
      </c>
    </row>
    <row r="18" spans="2:2" x14ac:dyDescent="0.3">
      <c r="B18" s="163" t="s">
        <v>108</v>
      </c>
    </row>
    <row r="20" spans="2:2" x14ac:dyDescent="0.3">
      <c r="B20" s="163" t="s">
        <v>111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914CD76-D36B-4577-9940-C29E7237B12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Main</vt:lpstr>
      <vt:lpstr>Dashboard</vt:lpstr>
      <vt:lpstr>OI Analysis</vt:lpstr>
      <vt:lpstr>OptionAnalysis</vt:lpstr>
      <vt:lpstr>Sentiment</vt:lpstr>
      <vt:lpstr>NiftyOption Chain</vt:lpstr>
      <vt:lpstr>Intraday Chart</vt:lpstr>
      <vt:lpstr>Max Pain</vt:lpstr>
      <vt:lpstr>Autochange OI</vt:lpstr>
      <vt:lpstr>cookies</vt:lpstr>
      <vt:lpstr>Cookies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Singh</dc:creator>
  <cp:lastModifiedBy>tejal</cp:lastModifiedBy>
  <dcterms:created xsi:type="dcterms:W3CDTF">2020-07-06T16:14:42Z</dcterms:created>
  <dcterms:modified xsi:type="dcterms:W3CDTF">2022-11-09T04:31:15Z</dcterms:modified>
</cp:coreProperties>
</file>